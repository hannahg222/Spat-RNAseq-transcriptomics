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cawthron99.sharepoint.com/sites/PhD427/Shared Documents/General/Manuscripts/Spat manuscript/Revisions/"/>
    </mc:Choice>
  </mc:AlternateContent>
  <xr:revisionPtr revIDLastSave="8" documentId="8_{A8AECE0C-6300-4BB4-B3F9-38C5FE7020FD}" xr6:coauthVersionLast="47" xr6:coauthVersionMax="47" xr10:uidLastSave="{66BFC40A-A273-4D16-AF91-72DD1AAF002A}"/>
  <bookViews>
    <workbookView xWindow="-108" yWindow="-108" windowWidth="23256" windowHeight="12456" activeTab="2" xr2:uid="{807B288D-B827-410F-A1E3-3A45B4BBFD4D}"/>
  </bookViews>
  <sheets>
    <sheet name="Pre&amp;post trimming" sheetId="2" r:id="rId1"/>
    <sheet name="Alignment data" sheetId="3" r:id="rId2"/>
    <sheet name="Overall stat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" i="2" l="1"/>
  <c r="D139" i="2"/>
  <c r="B70" i="3"/>
  <c r="B71" i="3"/>
  <c r="BR2" i="4"/>
  <c r="B20" i="4"/>
  <c r="C70" i="3"/>
  <c r="D70" i="3"/>
  <c r="E70" i="3"/>
  <c r="F70" i="3"/>
  <c r="G70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2" i="3"/>
</calcChain>
</file>

<file path=xl/sharedStrings.xml><?xml version="1.0" encoding="utf-8"?>
<sst xmlns="http://schemas.openxmlformats.org/spreadsheetml/2006/main" count="308" uniqueCount="236">
  <si>
    <t>Prior to cleaning</t>
  </si>
  <si>
    <t>After cleaning</t>
  </si>
  <si>
    <t>Sample Name</t>
  </si>
  <si>
    <t>% Dups</t>
  </si>
  <si>
    <t>% GC</t>
  </si>
  <si>
    <t>No. read pairs</t>
  </si>
  <si>
    <t>AAC5MGTHV-8148-02-0-1_S2_L001_R1_001</t>
  </si>
  <si>
    <t>AAC5MGTHV-8148-02-0-1_S2_L001_R2_001</t>
  </si>
  <si>
    <t>AAC5MGTHV-8148-03-0-1_S3_L001_R1_001</t>
  </si>
  <si>
    <t>AAC5MGTHV-8148-03-0-1_S3_L001_R2_001</t>
  </si>
  <si>
    <t>AAC5MGTHV-8148-04-0-1_S4_L001_R1_001</t>
  </si>
  <si>
    <t>AAC5MGTHV-8148-04-0-1_S4_L001_R2_001</t>
  </si>
  <si>
    <t>AAC5MGTHV-8148-05-0-1_S5_L001_R1_001</t>
  </si>
  <si>
    <t>AAC5MGTHV-8148-05-0-1_S5_L001_R2_001</t>
  </si>
  <si>
    <t>AAC5MGTHV-8148-06-0-1_S6_L001_R1_001</t>
  </si>
  <si>
    <t>AAC5MGTHV-8148-06-0-1_S6_L001_R2_001</t>
  </si>
  <si>
    <t>AAC5MGTHV-8148-07-0-1_S7_L001_R1_001</t>
  </si>
  <si>
    <t>AAC5MGTHV-8148-07-0-1_S7_L001_R2_001</t>
  </si>
  <si>
    <t>AAC5MGTHV-8148-08-0-1_S8_L001_R1_001</t>
  </si>
  <si>
    <t>AAC5MGTHV-8148-08-0-1_S8_L001_R2_001</t>
  </si>
  <si>
    <t>AAC5MGTHV-8148-09-0-1_S9_L001_R1_001</t>
  </si>
  <si>
    <t>AAC5MGTHV-8148-09-0-1_S9_L001_R2_001</t>
  </si>
  <si>
    <t>AAC5MGTHV-8148-10-0-1_S10_L001_R1_001</t>
  </si>
  <si>
    <t>AAC5MGTHV-8148-10-0-1_S10_L001_R2_001</t>
  </si>
  <si>
    <t>AAC5MGTHV-8148-11-0-1_S11_L001_R1_001</t>
  </si>
  <si>
    <t>AAC5MGTHV-8148-11-0-1_S11_L001_R2_001</t>
  </si>
  <si>
    <t>AAC5MGTHV-8148-12-0-1_S12_L001_R1_001</t>
  </si>
  <si>
    <t>AAC5MGTHV-8148-12-0-1_S12_L001_R2_001</t>
  </si>
  <si>
    <t>AAC5MGTHV-8148-13-0-1_S13_L001_R1_001</t>
  </si>
  <si>
    <t>AAC5MGTHV-8148-13-0-1_S13_L001_R2_001</t>
  </si>
  <si>
    <t>AAC5MGTHV-8148-14-0-1_S14_L001_R1_001</t>
  </si>
  <si>
    <t>AAC5MGTHV-8148-14-0-1_S14_L001_R2_001</t>
  </si>
  <si>
    <t>AAC5MGTHV-8148-15-0-1_S15_L001_R1_001</t>
  </si>
  <si>
    <t>AAC5MGTHV-8148-15-0-1_S15_L001_R2_001</t>
  </si>
  <si>
    <t>AAC5MGTHV-8148-16-0-1_S16_L001_R1_001</t>
  </si>
  <si>
    <t>AAC5MGTHV-8148-16-0-1_S16_L001_R2_001</t>
  </si>
  <si>
    <t>AAC5MGTHV-8148-17-0-1_S17_L001_R1_001</t>
  </si>
  <si>
    <t>AAC5MGTHV-8148-17-0-1_S17_L001_R2_001</t>
  </si>
  <si>
    <t>AAC5MGTHV-8148-18-0-1_S18_L001_R1_001</t>
  </si>
  <si>
    <t>AAC5MGTHV-8148-18-0-1_S18_L001_R2_001</t>
  </si>
  <si>
    <t>AAC5MGTHV-8148-19-0-1_S19_L001_R1_001</t>
  </si>
  <si>
    <t>AAC5MGTHV-8148-19-0-1_S19_L001_R2_001</t>
  </si>
  <si>
    <t>AAC5MGTHV-8148-20-0-1_S20_L001_R1_001</t>
  </si>
  <si>
    <t>AAC5MGTHV-8148-20-0-1_S20_L001_R2_001</t>
  </si>
  <si>
    <t>AAC5MGTHV-8148-21-0-1_S21_L001_R1_001</t>
  </si>
  <si>
    <t>AAC5MGTHV-8148-21-0-1_S21_L001_R2_001</t>
  </si>
  <si>
    <t>AAC5MGTHV-8148-22-0-1_S22_L001_R1_001</t>
  </si>
  <si>
    <t>AAC5MGTHV-8148-22-0-1_S22_L001_R2_001</t>
  </si>
  <si>
    <t>AAC5MGTHV-8148-23-0-1_S23_L001_R1_001</t>
  </si>
  <si>
    <t>AAC5MGTHV-8148-23-0-1_S23_L001_R2_001</t>
  </si>
  <si>
    <t>AAC5MGTHV-8148-24-0-1_S24_L001_R1_001</t>
  </si>
  <si>
    <t>AAC5MGTHV-8148-24-0-1_S24_L001_R2_001</t>
  </si>
  <si>
    <t>AAC5MGTHV-8148-25-0-1_S25_L001_R1_001</t>
  </si>
  <si>
    <t>AAC5MGTHV-8148-25-0-1_S25_L001_R2_001</t>
  </si>
  <si>
    <t>AAC5MGTHV-8148-26-0-1_S26_L001_R1_001</t>
  </si>
  <si>
    <t>AAC5MGTHV-8148-26-0-1_S26_L001_R2_001</t>
  </si>
  <si>
    <t>AAC5MGTHV-8148-27-0-1_S27_L001_R1_001</t>
  </si>
  <si>
    <t>AAC5MGTHV-8148-27-0-1_S27_L001_R2_001</t>
  </si>
  <si>
    <t>AAC5MGTHV-8148-28-0-1_S28_L001_R1_001</t>
  </si>
  <si>
    <t>AAC5MGTHV-8148-28-0-1_S28_L001_R2_001</t>
  </si>
  <si>
    <t>AAC5MGTHV-8148-29-0-1_S29_L001_R1_001</t>
  </si>
  <si>
    <t>AAC5MGTHV-8148-29-0-1_S29_L001_R2_001</t>
  </si>
  <si>
    <t>AAC5MGTHV-8148-30-0-1_S30_L001_R1_001</t>
  </si>
  <si>
    <t>AAC5MGTHV-8148-30-0-1_S30_L001_R2_001</t>
  </si>
  <si>
    <t>AAC5MGTHV-8148-31-0-1_S31_L001_R1_001</t>
  </si>
  <si>
    <t>AAC5MGTHV-8148-31-0-1_S31_L001_R2_001</t>
  </si>
  <si>
    <t>AAC5MGTHV-8148-32-0-1_S32_L001_R1_001</t>
  </si>
  <si>
    <t>AAC5MGTHV-8148-32-0-1_S32_L001_R2_001</t>
  </si>
  <si>
    <t>AAC5MGTHV-8148-33-0-1_S33_L001_R1_001</t>
  </si>
  <si>
    <t>AAC5MGTHV-8148-33-0-1_S33_L001_R2_001</t>
  </si>
  <si>
    <t>AAC5MGTHV-8148-34-0-1_S34_L001_R1_001</t>
  </si>
  <si>
    <t>AAC5MGTHV-8148-34-0-1_S34_L001_R2_001</t>
  </si>
  <si>
    <t>AAC5MGTHV-8148-35-0-1_S35_L001_R1_001</t>
  </si>
  <si>
    <t>AAC5MGTHV-8148-35-0-1_S35_L001_R2_001</t>
  </si>
  <si>
    <t>AAC5MGTHV-8148-36-0-1_S36_L001_R1_001</t>
  </si>
  <si>
    <t>AAC5MGTHV-8148-36-0-1_S36_L001_R2_001</t>
  </si>
  <si>
    <t>AAC5MGTHV-8148-37-0-1_S37_L001_R1_001</t>
  </si>
  <si>
    <t>AAC5MGTHV-8148-37-0-1_S37_L001_R2_001</t>
  </si>
  <si>
    <t>AAC5MGTHV-8148-38-0-1_S38_L001_R1_001</t>
  </si>
  <si>
    <t>AAC5MGTHV-8148-38-0-1_S38_L001_R2_001</t>
  </si>
  <si>
    <t>AAC5MGTHV-8148-39-0-1_S39_L001_R1_001</t>
  </si>
  <si>
    <t>AAC5MGTHV-8148-39-0-1_S39_L001_R2_001</t>
  </si>
  <si>
    <t>AAC5MGTHV-8148-40-0-1_S40_L001_R1_001</t>
  </si>
  <si>
    <t>AAC5MGTHV-8148-40-0-1_S40_L001_R2_001</t>
  </si>
  <si>
    <t>AAC5MGTHV-8148-41-0-1_S41_L001_R1_001</t>
  </si>
  <si>
    <t>AAC5MGTHV-8148-41-0-1_S41_L001_R2_001</t>
  </si>
  <si>
    <t>AAC5MGTHV-8148-42-0-1_S42_L001_R1_001</t>
  </si>
  <si>
    <t>AAC5MGTHV-8148-42-0-1_S42_L001_R2_001</t>
  </si>
  <si>
    <t>AAC5MGTHV-8148-43-0-1_S43_L001_R1_001</t>
  </si>
  <si>
    <t>AAC5MGTHV-8148-43-0-1_S43_L001_R2_001</t>
  </si>
  <si>
    <t>AAC5MGTHV-8148-44-0-1_S44_L001_R1_001</t>
  </si>
  <si>
    <t>AAC5MGTHV-8148-44-0-1_S44_L001_R2_001</t>
  </si>
  <si>
    <t>AAC5MGTHV-8148-45-0-1_S45_L001_R1_001</t>
  </si>
  <si>
    <t>AAC5MGTHV-8148-45-0-1_S45_L001_R2_001</t>
  </si>
  <si>
    <t>AAC5MGTHV-8148-46-0-1_S46_L001_R1_001</t>
  </si>
  <si>
    <t>AAC5MGTHV-8148-46-0-1_S46_L001_R2_001</t>
  </si>
  <si>
    <t>AAC5MGTHV-8148-47-0-1_S47_L001_R1_001</t>
  </si>
  <si>
    <t>AAC5MGTHV-8148-47-0-1_S47_L001_R2_001</t>
  </si>
  <si>
    <t>AAC5MGTHV-8148-48-0-1_S48_L001_R1_001</t>
  </si>
  <si>
    <t>AAC5MGTHV-8148-48-0-1_S48_L001_R2_001</t>
  </si>
  <si>
    <t>AAC5MGTHV-8148-49-0-1_S49_L001_R1_001</t>
  </si>
  <si>
    <t>AAC5MGTHV-8148-49-0-1_S49_L001_R2_001</t>
  </si>
  <si>
    <t>AAC5MGTHV-8148-50-0-1_S50_L001_R1_001</t>
  </si>
  <si>
    <t>AAC5MGTHV-8148-50-0-1_S50_L001_R2_001</t>
  </si>
  <si>
    <t>AAC5MGTHV-8148-51-0-1_S51_L001_R1_001</t>
  </si>
  <si>
    <t>AAC5MGTHV-8148-51-0-1_S51_L001_R2_001</t>
  </si>
  <si>
    <t>AAC5MGTHV-8148-52-0-1_S52_L001_R1_001</t>
  </si>
  <si>
    <t>AAC5MGTHV-8148-52-0-1_S52_L001_R2_001</t>
  </si>
  <si>
    <t>AAC5MGTHV-8148-53-0-1_S53_L001_R1_001</t>
  </si>
  <si>
    <t>AAC5MGTHV-8148-53-0-1_S53_L001_R2_001</t>
  </si>
  <si>
    <t>AAC5MGTHV-8148-54-0-1_S54_L001_R1_001</t>
  </si>
  <si>
    <t>AAC5MGTHV-8148-54-0-1_S54_L001_R2_001</t>
  </si>
  <si>
    <t>AAC5MGTHV-8148-55-0-1_S55_L001_R1_001</t>
  </si>
  <si>
    <t>AAC5MGTHV-8148-55-0-1_S55_L001_R2_001</t>
  </si>
  <si>
    <t>AAC5MGTHV-8148-56-0-1_S56_L001_R1_001</t>
  </si>
  <si>
    <t>AAC5MGTHV-8148-56-0-1_S56_L001_R2_001</t>
  </si>
  <si>
    <t>AAC5MGTHV-8148-57-0-1_S57_L001_R1_001</t>
  </si>
  <si>
    <t>AAC5MGTHV-8148-57-0-1_S57_L001_R2_001</t>
  </si>
  <si>
    <t>AAC5MGTHV-8148-58-0-1_S58_L001_R1_001</t>
  </si>
  <si>
    <t>AAC5MGTHV-8148-58-0-1_S58_L001_R2_001</t>
  </si>
  <si>
    <t>AAC5MGTHV-8148-59-0-1_S59_L001_R1_001</t>
  </si>
  <si>
    <t>AAC5MGTHV-8148-59-0-1_S59_L001_R2_001</t>
  </si>
  <si>
    <t>AAC5MGTHV-8148-60-0-1_S60_L001_R1_001</t>
  </si>
  <si>
    <t>AAC5MGTHV-8148-60-0-1_S60_L001_R2_001</t>
  </si>
  <si>
    <t>AAC5MGTHV-8148-61-0-1_S61_L001_R1_001</t>
  </si>
  <si>
    <t>AAC5MGTHV-8148-61-0-1_S61_L001_R2_001</t>
  </si>
  <si>
    <t>AAC5MGTHV-8148-62-0-1_S62_L001_R1_001</t>
  </si>
  <si>
    <t>AAC5MGTHV-8148-62-0-1_S62_L001_R2_001</t>
  </si>
  <si>
    <t>AAC5MGTHV-8148-63-0-1_S63_L001_R1_001</t>
  </si>
  <si>
    <t>AAC5MGTHV-8148-63-0-1_S63_L001_R2_001</t>
  </si>
  <si>
    <t>AAC5MGTHV-8148-64-0-1_S64_L001_R1_001</t>
  </si>
  <si>
    <t>AAC5MGTHV-8148-64-0-1_S64_L001_R2_001</t>
  </si>
  <si>
    <t>AAC5MGTHV-8148-65-0-1_S65_L001_R1_001</t>
  </si>
  <si>
    <t>AAC5MGTHV-8148-65-0-1_S65_L001_R2_001</t>
  </si>
  <si>
    <t>AAC5MGTHV-8148-66-0-1_S66_L001_R1_001</t>
  </si>
  <si>
    <t>AAC5MGTHV-8148-66-0-1_S66_L001_R2_001</t>
  </si>
  <si>
    <t>AAC5MGTHV-8148-67-0-1_S67_L001_R1_001</t>
  </si>
  <si>
    <t>AAC5MGTHV-8148-67-0-1_S67_L001_R2_001</t>
  </si>
  <si>
    <t>AAC5MGTHV-8148-68-0-1_S68_L001_R1_001</t>
  </si>
  <si>
    <t>AAC5MGTHV-8148-68-0-1_S68_L001_R2_001</t>
  </si>
  <si>
    <t>AAC5MGTHV-8148-69-0-1_S69_L001_R1_001</t>
  </si>
  <si>
    <t>AAC5MGTHV-8148-69-0-1_S69_L001_R2_001</t>
  </si>
  <si>
    <t>No. of reads</t>
  </si>
  <si>
    <t>% paired</t>
  </si>
  <si>
    <t>% not aligned</t>
  </si>
  <si>
    <t>% Uniquely mapped reads</t>
  </si>
  <si>
    <t>% mapped to mulitple loci</t>
  </si>
  <si>
    <t>% overall alignment</t>
  </si>
  <si>
    <t>Average</t>
  </si>
  <si>
    <t>total</t>
  </si>
  <si>
    <t>Status</t>
  </si>
  <si>
    <t>./8148-02/result.bam</t>
  </si>
  <si>
    <t>./8148-03/result.bam</t>
  </si>
  <si>
    <t>./8148-04/result.bam</t>
  </si>
  <si>
    <t>./8148-05/result.bam</t>
  </si>
  <si>
    <t>./8148-06/result.bam</t>
  </si>
  <si>
    <t>./8148-07/result.bam</t>
  </si>
  <si>
    <t>./8148-08/result.bam</t>
  </si>
  <si>
    <t>./8148-09/result.bam</t>
  </si>
  <si>
    <t>./8148-10/result.bam</t>
  </si>
  <si>
    <t>./8148-11/result.bam</t>
  </si>
  <si>
    <t>./8148-12/result.bam</t>
  </si>
  <si>
    <t>./8148-13/result.bam</t>
  </si>
  <si>
    <t>./8148-14/result.bam</t>
  </si>
  <si>
    <t>./8148-15/result.bam</t>
  </si>
  <si>
    <t>./8148-16/result.bam</t>
  </si>
  <si>
    <t>./8148-17/result.bam</t>
  </si>
  <si>
    <t>./8148-18/result.bam</t>
  </si>
  <si>
    <t>./8148-19/result.bam</t>
  </si>
  <si>
    <t>./8148-20/result.bam</t>
  </si>
  <si>
    <t>./8148-21/result.bam</t>
  </si>
  <si>
    <t>./8148-22/result.bam</t>
  </si>
  <si>
    <t>./8148-23/result.bam</t>
  </si>
  <si>
    <t>./8148-24/result.bam</t>
  </si>
  <si>
    <t>./8148-25/result.bam</t>
  </si>
  <si>
    <t>./8148-26/result.bam</t>
  </si>
  <si>
    <t>./8148-27/result.bam</t>
  </si>
  <si>
    <t>./8148-28/result.bam</t>
  </si>
  <si>
    <t>./8148-29/result.bam</t>
  </si>
  <si>
    <t>./8148-30/result.bam</t>
  </si>
  <si>
    <t>./8148-31/result.bam</t>
  </si>
  <si>
    <t>./8148-32/result.bam</t>
  </si>
  <si>
    <t>./8148-33/result.bam</t>
  </si>
  <si>
    <t>./8148-34/result.bam</t>
  </si>
  <si>
    <t>./8148-35/result.bam</t>
  </si>
  <si>
    <t>./8148-36/result.bam</t>
  </si>
  <si>
    <t>./8148-37/result.bam</t>
  </si>
  <si>
    <t>./8148-38/result.bam</t>
  </si>
  <si>
    <t>./8148-39/result.bam</t>
  </si>
  <si>
    <t>./8148-40/result.bam</t>
  </si>
  <si>
    <t>./8148-41/result.bam</t>
  </si>
  <si>
    <t>./8148-42/result.bam</t>
  </si>
  <si>
    <t>./8148-43/result.bam</t>
  </si>
  <si>
    <t>./8148-44/result.bam</t>
  </si>
  <si>
    <t>./8148-45/result.bam</t>
  </si>
  <si>
    <t>./8148-46/result.bam</t>
  </si>
  <si>
    <t>./8148-47/result.bam</t>
  </si>
  <si>
    <t>./8148-48/result.bam</t>
  </si>
  <si>
    <t>./8148-49/result.bam</t>
  </si>
  <si>
    <t>./8148-50/result.bam</t>
  </si>
  <si>
    <t>./8148-51/result.bam</t>
  </si>
  <si>
    <t>./8148-52/result.bam</t>
  </si>
  <si>
    <t>./8148-53/result.bam</t>
  </si>
  <si>
    <t>./8148-54/result.bam</t>
  </si>
  <si>
    <t>./8148-55/result.bam</t>
  </si>
  <si>
    <t>./8148-56/result.bam</t>
  </si>
  <si>
    <t>./8148-57/result.bam</t>
  </si>
  <si>
    <t>./8148-58/result.bam</t>
  </si>
  <si>
    <t>./8148-59/result.bam</t>
  </si>
  <si>
    <t>./8148-60/result.bam</t>
  </si>
  <si>
    <t>./8148-61/result.bam</t>
  </si>
  <si>
    <t>./8148-62/result.bam</t>
  </si>
  <si>
    <t>./8148-63/result.bam</t>
  </si>
  <si>
    <t>./8148-64/result.bam</t>
  </si>
  <si>
    <t>./8148-65/result.bam</t>
  </si>
  <si>
    <t>./8148-66/result.bam</t>
  </si>
  <si>
    <t>./8148-67/result.bam</t>
  </si>
  <si>
    <t>./8148-68/result.bam</t>
  </si>
  <si>
    <t>./8148-69/result.bam</t>
  </si>
  <si>
    <t>Assigned</t>
  </si>
  <si>
    <t>Unassigned_Unmapped</t>
  </si>
  <si>
    <t>Unassigned_Read_Type</t>
  </si>
  <si>
    <t>Unassigned_Singleton</t>
  </si>
  <si>
    <t>Unassigned_MappingQuality</t>
  </si>
  <si>
    <t>Unassigned_Chimera</t>
  </si>
  <si>
    <t>Unassigned_FragmentLength</t>
  </si>
  <si>
    <t>Unassigned_Duplicate</t>
  </si>
  <si>
    <t>Unassigned_MultiMapping</t>
  </si>
  <si>
    <t>Unassigned_Secondary</t>
  </si>
  <si>
    <t>Unassigned_NonSplit</t>
  </si>
  <si>
    <t>Unassigned_NoFeatures</t>
  </si>
  <si>
    <t>Unassigned_Overlapping_Length</t>
  </si>
  <si>
    <t>Unassigned_Ambiguity</t>
  </si>
  <si>
    <t>Total no. of reads from all samples</t>
  </si>
  <si>
    <t>No. of reads assigned to a data set within our gene model</t>
  </si>
  <si>
    <t>%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</si>
</sst>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  <font>
      <b/>
      <sz val="10"/>
      <color rgb="FF333333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rgb="FFDDDDDD"/>
      </top>
      <bottom/>
      <diagonal/>
    </border>
    <border>
      <left/>
      <right style="thin">
        <color indexed="64"/>
      </right>
      <top style="medium">
        <color rgb="FFDDDDDD"/>
      </top>
      <bottom/>
      <diagonal/>
    </border>
    <border>
      <left style="thin">
        <color indexed="64"/>
      </left>
      <right/>
      <top style="medium">
        <color rgb="FFDDDDDD"/>
      </top>
      <bottom style="thin">
        <color indexed="64"/>
      </bottom>
      <diagonal/>
    </border>
    <border>
      <left/>
      <right/>
      <top style="medium">
        <color rgb="FFDDDDDD"/>
      </top>
      <bottom style="thin">
        <color indexed="64"/>
      </bottom>
      <diagonal/>
    </border>
    <border>
      <left/>
      <right style="thin">
        <color indexed="64"/>
      </right>
      <top style="medium">
        <color rgb="FFDDDDDD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/>
    <xf numFmtId="0" fontId="2" fillId="2" borderId="1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right"/>
    </xf>
    <xf numFmtId="0" fontId="4" fillId="2" borderId="2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10" fontId="4" fillId="2" borderId="8" xfId="0" applyNumberFormat="1" applyFont="1" applyFill="1" applyBorder="1" applyAlignment="1">
      <alignment vertical="center" wrapText="1"/>
    </xf>
    <xf numFmtId="9" fontId="4" fillId="2" borderId="1" xfId="0" applyNumberFormat="1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10" fontId="4" fillId="2" borderId="10" xfId="0" applyNumberFormat="1" applyFont="1" applyFill="1" applyBorder="1" applyAlignment="1">
      <alignment vertical="center" wrapText="1"/>
    </xf>
    <xf numFmtId="9" fontId="4" fillId="2" borderId="11" xfId="0" applyNumberFormat="1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right" vertical="top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A5B0-B7E8-4F2E-9704-36B41F5620CD}">
  <dimension ref="A1:I139"/>
  <sheetViews>
    <sheetView workbookViewId="0">
      <selection activeCell="G147" sqref="G147"/>
    </sheetView>
  </sheetViews>
  <sheetFormatPr defaultRowHeight="14.4" x14ac:dyDescent="0.3"/>
  <cols>
    <col min="1" max="1" width="40.44140625" bestFit="1" customWidth="1"/>
    <col min="4" max="4" width="19" customWidth="1"/>
    <col min="7" max="7" width="18.21875" customWidth="1"/>
    <col min="8" max="8" width="17.6640625" bestFit="1" customWidth="1"/>
    <col min="9" max="9" width="19.33203125" bestFit="1" customWidth="1"/>
  </cols>
  <sheetData>
    <row r="1" spans="1:9" x14ac:dyDescent="0.3">
      <c r="A1" s="3"/>
      <c r="B1" s="18" t="s">
        <v>0</v>
      </c>
      <c r="C1" s="19"/>
      <c r="D1" s="20"/>
      <c r="E1" s="18" t="s">
        <v>1</v>
      </c>
      <c r="F1" s="19"/>
      <c r="G1" s="20"/>
    </row>
    <row r="2" spans="1:9" ht="15" thickBot="1" x14ac:dyDescent="0.35">
      <c r="A2" s="2" t="s">
        <v>2</v>
      </c>
      <c r="B2" s="9" t="s">
        <v>3</v>
      </c>
      <c r="C2" s="2" t="s">
        <v>4</v>
      </c>
      <c r="D2" s="10" t="s">
        <v>5</v>
      </c>
      <c r="E2" s="9" t="s">
        <v>3</v>
      </c>
      <c r="F2" s="2" t="s">
        <v>4</v>
      </c>
      <c r="G2" s="10" t="s">
        <v>5</v>
      </c>
      <c r="H2" s="1"/>
      <c r="I2" s="1"/>
    </row>
    <row r="3" spans="1:9" ht="15" thickBot="1" x14ac:dyDescent="0.35">
      <c r="A3" s="4" t="s">
        <v>6</v>
      </c>
      <c r="B3" s="11">
        <v>0.501</v>
      </c>
      <c r="C3" s="12">
        <v>0.42</v>
      </c>
      <c r="D3" s="13">
        <v>10.3</v>
      </c>
      <c r="E3" s="11">
        <v>0.49399999999999999</v>
      </c>
      <c r="F3" s="12">
        <v>0.41</v>
      </c>
      <c r="G3" s="13">
        <v>8.1999999999999993</v>
      </c>
    </row>
    <row r="4" spans="1:9" ht="15" thickBot="1" x14ac:dyDescent="0.35">
      <c r="A4" s="4" t="s">
        <v>7</v>
      </c>
      <c r="B4" s="11">
        <v>0.47199999999999998</v>
      </c>
      <c r="C4" s="12">
        <v>0.42</v>
      </c>
      <c r="D4" s="13">
        <v>10.3</v>
      </c>
      <c r="E4" s="11">
        <v>0.47599999999999998</v>
      </c>
      <c r="F4" s="12">
        <v>0.41</v>
      </c>
      <c r="G4" s="13">
        <v>8.1999999999999993</v>
      </c>
    </row>
    <row r="5" spans="1:9" ht="15" thickBot="1" x14ac:dyDescent="0.35">
      <c r="A5" s="4" t="s">
        <v>8</v>
      </c>
      <c r="B5" s="11">
        <v>0.42699999999999999</v>
      </c>
      <c r="C5" s="12">
        <v>0.4</v>
      </c>
      <c r="D5" s="13">
        <v>7.1</v>
      </c>
      <c r="E5" s="11">
        <v>0.41499999999999998</v>
      </c>
      <c r="F5" s="12">
        <v>0.39</v>
      </c>
      <c r="G5" s="13">
        <v>5.3</v>
      </c>
    </row>
    <row r="6" spans="1:9" ht="15" thickBot="1" x14ac:dyDescent="0.35">
      <c r="A6" s="4" t="s">
        <v>9</v>
      </c>
      <c r="B6" s="11">
        <v>0.40699999999999997</v>
      </c>
      <c r="C6" s="12">
        <v>0.4</v>
      </c>
      <c r="D6" s="13">
        <v>7.1</v>
      </c>
      <c r="E6" s="11">
        <v>0.4</v>
      </c>
      <c r="F6" s="12">
        <v>0.39</v>
      </c>
      <c r="G6" s="13">
        <v>5.3</v>
      </c>
    </row>
    <row r="7" spans="1:9" ht="15" thickBot="1" x14ac:dyDescent="0.35">
      <c r="A7" s="4" t="s">
        <v>10</v>
      </c>
      <c r="B7" s="11">
        <v>0.53800000000000003</v>
      </c>
      <c r="C7" s="12">
        <v>0.43</v>
      </c>
      <c r="D7" s="13">
        <v>11.5</v>
      </c>
      <c r="E7" s="11">
        <v>0.53500000000000003</v>
      </c>
      <c r="F7" s="12">
        <v>0.43</v>
      </c>
      <c r="G7" s="13">
        <v>9.3000000000000007</v>
      </c>
    </row>
    <row r="8" spans="1:9" ht="15" thickBot="1" x14ac:dyDescent="0.35">
      <c r="A8" s="4" t="s">
        <v>11</v>
      </c>
      <c r="B8" s="11">
        <v>0.52100000000000002</v>
      </c>
      <c r="C8" s="12">
        <v>0.43</v>
      </c>
      <c r="D8" s="13">
        <v>11.5</v>
      </c>
      <c r="E8" s="11">
        <v>0.53</v>
      </c>
      <c r="F8" s="12">
        <v>0.43</v>
      </c>
      <c r="G8" s="13">
        <v>9.3000000000000007</v>
      </c>
    </row>
    <row r="9" spans="1:9" ht="15" thickBot="1" x14ac:dyDescent="0.35">
      <c r="A9" s="4" t="s">
        <v>12</v>
      </c>
      <c r="B9" s="11">
        <v>0.47899999999999998</v>
      </c>
      <c r="C9" s="12">
        <v>0.4</v>
      </c>
      <c r="D9" s="13">
        <v>12.4</v>
      </c>
      <c r="E9" s="11">
        <v>0.47599999999999998</v>
      </c>
      <c r="F9" s="12">
        <v>0.4</v>
      </c>
      <c r="G9" s="13">
        <v>9.9</v>
      </c>
    </row>
    <row r="10" spans="1:9" ht="15" thickBot="1" x14ac:dyDescent="0.35">
      <c r="A10" s="4" t="s">
        <v>13</v>
      </c>
      <c r="B10" s="11">
        <v>0.46200000000000002</v>
      </c>
      <c r="C10" s="12">
        <v>0.4</v>
      </c>
      <c r="D10" s="13">
        <v>12.4</v>
      </c>
      <c r="E10" s="11">
        <v>0.46500000000000002</v>
      </c>
      <c r="F10" s="12">
        <v>0.4</v>
      </c>
      <c r="G10" s="13">
        <v>9.9</v>
      </c>
    </row>
    <row r="11" spans="1:9" ht="15" thickBot="1" x14ac:dyDescent="0.35">
      <c r="A11" s="4" t="s">
        <v>14</v>
      </c>
      <c r="B11" s="11">
        <v>0.46899999999999997</v>
      </c>
      <c r="C11" s="12">
        <v>0.4</v>
      </c>
      <c r="D11" s="13">
        <v>12.5</v>
      </c>
      <c r="E11" s="11">
        <v>0.46899999999999997</v>
      </c>
      <c r="F11" s="12">
        <v>0.39</v>
      </c>
      <c r="G11" s="13">
        <v>10.1</v>
      </c>
    </row>
    <row r="12" spans="1:9" ht="15" thickBot="1" x14ac:dyDescent="0.35">
      <c r="A12" s="4" t="s">
        <v>15</v>
      </c>
      <c r="B12" s="11">
        <v>0.43</v>
      </c>
      <c r="C12" s="12">
        <v>0.4</v>
      </c>
      <c r="D12" s="13">
        <v>12.5</v>
      </c>
      <c r="E12" s="11">
        <v>0.437</v>
      </c>
      <c r="F12" s="12">
        <v>0.4</v>
      </c>
      <c r="G12" s="13">
        <v>10.1</v>
      </c>
    </row>
    <row r="13" spans="1:9" ht="15" thickBot="1" x14ac:dyDescent="0.35">
      <c r="A13" s="4" t="s">
        <v>16</v>
      </c>
      <c r="B13" s="11">
        <v>0.59199999999999997</v>
      </c>
      <c r="C13" s="12">
        <v>0.4</v>
      </c>
      <c r="D13" s="13">
        <v>8</v>
      </c>
      <c r="E13" s="11">
        <v>0.57199999999999995</v>
      </c>
      <c r="F13" s="12">
        <v>0.39</v>
      </c>
      <c r="G13" s="13">
        <v>5.7</v>
      </c>
    </row>
    <row r="14" spans="1:9" ht="15" thickBot="1" x14ac:dyDescent="0.35">
      <c r="A14" s="4" t="s">
        <v>17</v>
      </c>
      <c r="B14" s="11">
        <v>0.54300000000000004</v>
      </c>
      <c r="C14" s="12">
        <v>0.4</v>
      </c>
      <c r="D14" s="13">
        <v>8</v>
      </c>
      <c r="E14" s="11">
        <v>0.53200000000000003</v>
      </c>
      <c r="F14" s="12">
        <v>0.39</v>
      </c>
      <c r="G14" s="13">
        <v>5.7</v>
      </c>
    </row>
    <row r="15" spans="1:9" ht="15" thickBot="1" x14ac:dyDescent="0.35">
      <c r="A15" s="4" t="s">
        <v>18</v>
      </c>
      <c r="B15" s="11">
        <v>0.51</v>
      </c>
      <c r="C15" s="12">
        <v>0.38</v>
      </c>
      <c r="D15" s="13">
        <v>19.399999999999999</v>
      </c>
      <c r="E15" s="11">
        <v>0.51200000000000001</v>
      </c>
      <c r="F15" s="12">
        <v>0.38</v>
      </c>
      <c r="G15" s="13">
        <v>16.5</v>
      </c>
    </row>
    <row r="16" spans="1:9" ht="15" thickBot="1" x14ac:dyDescent="0.35">
      <c r="A16" s="4" t="s">
        <v>19</v>
      </c>
      <c r="B16" s="11">
        <v>0.46800000000000003</v>
      </c>
      <c r="C16" s="12">
        <v>0.38</v>
      </c>
      <c r="D16" s="13">
        <v>19.399999999999999</v>
      </c>
      <c r="E16" s="11">
        <v>0.47799999999999998</v>
      </c>
      <c r="F16" s="12">
        <v>0.38</v>
      </c>
      <c r="G16" s="13">
        <v>16.5</v>
      </c>
    </row>
    <row r="17" spans="1:7" ht="15" thickBot="1" x14ac:dyDescent="0.35">
      <c r="A17" s="4" t="s">
        <v>20</v>
      </c>
      <c r="B17" s="11">
        <v>0.61099999999999999</v>
      </c>
      <c r="C17" s="12">
        <v>0.4</v>
      </c>
      <c r="D17" s="13">
        <v>9.1999999999999993</v>
      </c>
      <c r="E17" s="11">
        <v>0.57399999999999995</v>
      </c>
      <c r="F17" s="12">
        <v>0.38</v>
      </c>
      <c r="G17" s="13">
        <v>6.3</v>
      </c>
    </row>
    <row r="18" spans="1:7" ht="15" thickBot="1" x14ac:dyDescent="0.35">
      <c r="A18" s="4" t="s">
        <v>21</v>
      </c>
      <c r="B18" s="11">
        <v>0.57199999999999995</v>
      </c>
      <c r="C18" s="12">
        <v>0.4</v>
      </c>
      <c r="D18" s="13">
        <v>9.1999999999999993</v>
      </c>
      <c r="E18" s="11">
        <v>0.53900000000000003</v>
      </c>
      <c r="F18" s="12">
        <v>0.39</v>
      </c>
      <c r="G18" s="13">
        <v>6.3</v>
      </c>
    </row>
    <row r="19" spans="1:7" ht="15" thickBot="1" x14ac:dyDescent="0.35">
      <c r="A19" s="4" t="s">
        <v>22</v>
      </c>
      <c r="B19" s="11">
        <v>0.432</v>
      </c>
      <c r="C19" s="12">
        <v>0.39</v>
      </c>
      <c r="D19" s="13">
        <v>9.4</v>
      </c>
      <c r="E19" s="11">
        <v>0.44</v>
      </c>
      <c r="F19" s="12">
        <v>0.39</v>
      </c>
      <c r="G19" s="13">
        <v>8.3000000000000007</v>
      </c>
    </row>
    <row r="20" spans="1:7" ht="15" thickBot="1" x14ac:dyDescent="0.35">
      <c r="A20" s="4" t="s">
        <v>23</v>
      </c>
      <c r="B20" s="11">
        <v>0.4</v>
      </c>
      <c r="C20" s="12">
        <v>0.39</v>
      </c>
      <c r="D20" s="13">
        <v>9.4</v>
      </c>
      <c r="E20" s="11">
        <v>0.41399999999999998</v>
      </c>
      <c r="F20" s="12">
        <v>0.39</v>
      </c>
      <c r="G20" s="13">
        <v>8.3000000000000007</v>
      </c>
    </row>
    <row r="21" spans="1:7" ht="15" thickBot="1" x14ac:dyDescent="0.35">
      <c r="A21" s="4" t="s">
        <v>24</v>
      </c>
      <c r="B21" s="11">
        <v>0.54200000000000004</v>
      </c>
      <c r="C21" s="12">
        <v>0.4</v>
      </c>
      <c r="D21" s="13">
        <v>6.9</v>
      </c>
      <c r="E21" s="11">
        <v>0.53</v>
      </c>
      <c r="F21" s="12">
        <v>0.39</v>
      </c>
      <c r="G21" s="13">
        <v>4.8</v>
      </c>
    </row>
    <row r="22" spans="1:7" ht="15" thickBot="1" x14ac:dyDescent="0.35">
      <c r="A22" s="4" t="s">
        <v>25</v>
      </c>
      <c r="B22" s="11">
        <v>0.50600000000000001</v>
      </c>
      <c r="C22" s="12">
        <v>0.4</v>
      </c>
      <c r="D22" s="13">
        <v>6.9</v>
      </c>
      <c r="E22" s="11">
        <v>0.499</v>
      </c>
      <c r="F22" s="12">
        <v>0.39</v>
      </c>
      <c r="G22" s="13">
        <v>4.8</v>
      </c>
    </row>
    <row r="23" spans="1:7" ht="15" thickBot="1" x14ac:dyDescent="0.35">
      <c r="A23" s="4" t="s">
        <v>26</v>
      </c>
      <c r="B23" s="11">
        <v>0.42299999999999999</v>
      </c>
      <c r="C23" s="12">
        <v>0.39</v>
      </c>
      <c r="D23" s="13">
        <v>1.8</v>
      </c>
      <c r="E23" s="11">
        <v>0.41199999999999998</v>
      </c>
      <c r="F23" s="12">
        <v>0.39</v>
      </c>
      <c r="G23" s="13">
        <v>1.4</v>
      </c>
    </row>
    <row r="24" spans="1:7" ht="15" thickBot="1" x14ac:dyDescent="0.35">
      <c r="A24" s="4" t="s">
        <v>27</v>
      </c>
      <c r="B24" s="11">
        <v>0.38100000000000001</v>
      </c>
      <c r="C24" s="12">
        <v>0.4</v>
      </c>
      <c r="D24" s="13">
        <v>1.8</v>
      </c>
      <c r="E24" s="11">
        <v>0.375</v>
      </c>
      <c r="F24" s="12">
        <v>0.39</v>
      </c>
      <c r="G24" s="13">
        <v>1.4</v>
      </c>
    </row>
    <row r="25" spans="1:7" ht="15" thickBot="1" x14ac:dyDescent="0.35">
      <c r="A25" s="4" t="s">
        <v>28</v>
      </c>
      <c r="B25" s="11">
        <v>0.48499999999999999</v>
      </c>
      <c r="C25" s="12">
        <v>0.39</v>
      </c>
      <c r="D25" s="13">
        <v>17.5</v>
      </c>
      <c r="E25" s="11">
        <v>0.49099999999999999</v>
      </c>
      <c r="F25" s="12">
        <v>0.39</v>
      </c>
      <c r="G25" s="13">
        <v>15</v>
      </c>
    </row>
    <row r="26" spans="1:7" ht="15" thickBot="1" x14ac:dyDescent="0.35">
      <c r="A26" s="4" t="s">
        <v>29</v>
      </c>
      <c r="B26" s="11">
        <v>0.44700000000000001</v>
      </c>
      <c r="C26" s="12">
        <v>0.39</v>
      </c>
      <c r="D26" s="13">
        <v>17.5</v>
      </c>
      <c r="E26" s="11">
        <v>0.46100000000000002</v>
      </c>
      <c r="F26" s="12">
        <v>0.39</v>
      </c>
      <c r="G26" s="13">
        <v>15</v>
      </c>
    </row>
    <row r="27" spans="1:7" ht="15" thickBot="1" x14ac:dyDescent="0.35">
      <c r="A27" s="4" t="s">
        <v>30</v>
      </c>
      <c r="B27" s="11">
        <v>0.49299999999999999</v>
      </c>
      <c r="C27" s="12">
        <v>0.41</v>
      </c>
      <c r="D27" s="13">
        <v>10.199999999999999</v>
      </c>
      <c r="E27" s="11">
        <v>0.49</v>
      </c>
      <c r="F27" s="12">
        <v>0.4</v>
      </c>
      <c r="G27" s="13">
        <v>7.9</v>
      </c>
    </row>
    <row r="28" spans="1:7" ht="15" thickBot="1" x14ac:dyDescent="0.35">
      <c r="A28" s="4" t="s">
        <v>31</v>
      </c>
      <c r="B28" s="11">
        <v>0.45900000000000002</v>
      </c>
      <c r="C28" s="12">
        <v>0.41</v>
      </c>
      <c r="D28" s="13">
        <v>10.199999999999999</v>
      </c>
      <c r="E28" s="11">
        <v>0.46500000000000002</v>
      </c>
      <c r="F28" s="12">
        <v>0.4</v>
      </c>
      <c r="G28" s="13">
        <v>7.9</v>
      </c>
    </row>
    <row r="29" spans="1:7" ht="15" thickBot="1" x14ac:dyDescent="0.35">
      <c r="A29" s="4" t="s">
        <v>32</v>
      </c>
      <c r="B29" s="11">
        <v>0.55600000000000005</v>
      </c>
      <c r="C29" s="12">
        <v>0.39</v>
      </c>
      <c r="D29" s="13">
        <v>8.1999999999999993</v>
      </c>
      <c r="E29" s="11">
        <v>0.54900000000000004</v>
      </c>
      <c r="F29" s="12">
        <v>0.39</v>
      </c>
      <c r="G29" s="13">
        <v>6.2</v>
      </c>
    </row>
    <row r="30" spans="1:7" ht="15" thickBot="1" x14ac:dyDescent="0.35">
      <c r="A30" s="4" t="s">
        <v>33</v>
      </c>
      <c r="B30" s="11">
        <v>0.52400000000000002</v>
      </c>
      <c r="C30" s="12">
        <v>0.4</v>
      </c>
      <c r="D30" s="13">
        <v>8.1999999999999993</v>
      </c>
      <c r="E30" s="11">
        <v>0.52200000000000002</v>
      </c>
      <c r="F30" s="12">
        <v>0.39</v>
      </c>
      <c r="G30" s="13">
        <v>6.2</v>
      </c>
    </row>
    <row r="31" spans="1:7" ht="15" thickBot="1" x14ac:dyDescent="0.35">
      <c r="A31" s="4" t="s">
        <v>34</v>
      </c>
      <c r="B31" s="11">
        <v>0.64300000000000002</v>
      </c>
      <c r="C31" s="12">
        <v>0.43</v>
      </c>
      <c r="D31" s="13">
        <v>15.2</v>
      </c>
      <c r="E31" s="11">
        <v>0.63500000000000001</v>
      </c>
      <c r="F31" s="12">
        <v>0.42</v>
      </c>
      <c r="G31" s="13">
        <v>11.9</v>
      </c>
    </row>
    <row r="32" spans="1:7" ht="15" thickBot="1" x14ac:dyDescent="0.35">
      <c r="A32" s="4" t="s">
        <v>35</v>
      </c>
      <c r="B32" s="11">
        <v>0.621</v>
      </c>
      <c r="C32" s="12">
        <v>0.44</v>
      </c>
      <c r="D32" s="13">
        <v>15.2</v>
      </c>
      <c r="E32" s="11">
        <v>0.623</v>
      </c>
      <c r="F32" s="12">
        <v>0.43</v>
      </c>
      <c r="G32" s="13">
        <v>11.9</v>
      </c>
    </row>
    <row r="33" spans="1:7" ht="15" thickBot="1" x14ac:dyDescent="0.35">
      <c r="A33" s="4" t="s">
        <v>36</v>
      </c>
      <c r="B33" s="11">
        <v>0.51</v>
      </c>
      <c r="C33" s="12">
        <v>0.42</v>
      </c>
      <c r="D33" s="13">
        <v>11.7</v>
      </c>
      <c r="E33" s="11">
        <v>0.52</v>
      </c>
      <c r="F33" s="12">
        <v>0.42</v>
      </c>
      <c r="G33" s="13">
        <v>10.199999999999999</v>
      </c>
    </row>
    <row r="34" spans="1:7" ht="15" thickBot="1" x14ac:dyDescent="0.35">
      <c r="A34" s="4" t="s">
        <v>37</v>
      </c>
      <c r="B34" s="11">
        <v>0.48</v>
      </c>
      <c r="C34" s="12">
        <v>0.42</v>
      </c>
      <c r="D34" s="13">
        <v>11.7</v>
      </c>
      <c r="E34" s="11">
        <v>0.497</v>
      </c>
      <c r="F34" s="12">
        <v>0.42</v>
      </c>
      <c r="G34" s="13">
        <v>10.199999999999999</v>
      </c>
    </row>
    <row r="35" spans="1:7" ht="15" thickBot="1" x14ac:dyDescent="0.35">
      <c r="A35" s="4" t="s">
        <v>38</v>
      </c>
      <c r="B35" s="11">
        <v>0.497</v>
      </c>
      <c r="C35" s="12">
        <v>0.44</v>
      </c>
      <c r="D35" s="13">
        <v>4.5</v>
      </c>
      <c r="E35" s="11">
        <v>0.46400000000000002</v>
      </c>
      <c r="F35" s="12">
        <v>0.42</v>
      </c>
      <c r="G35" s="13">
        <v>3.3</v>
      </c>
    </row>
    <row r="36" spans="1:7" ht="15" thickBot="1" x14ac:dyDescent="0.35">
      <c r="A36" s="4" t="s">
        <v>39</v>
      </c>
      <c r="B36" s="11">
        <v>0.47599999999999998</v>
      </c>
      <c r="C36" s="12">
        <v>0.44</v>
      </c>
      <c r="D36" s="13">
        <v>4.5</v>
      </c>
      <c r="E36" s="11">
        <v>0.44600000000000001</v>
      </c>
      <c r="F36" s="12">
        <v>0.43</v>
      </c>
      <c r="G36" s="13">
        <v>3.3</v>
      </c>
    </row>
    <row r="37" spans="1:7" ht="15" thickBot="1" x14ac:dyDescent="0.35">
      <c r="A37" s="4" t="s">
        <v>40</v>
      </c>
      <c r="B37" s="11">
        <v>0.498</v>
      </c>
      <c r="C37" s="12">
        <v>0.42</v>
      </c>
      <c r="D37" s="13">
        <v>7.9</v>
      </c>
      <c r="E37" s="11">
        <v>0.505</v>
      </c>
      <c r="F37" s="12">
        <v>0.42</v>
      </c>
      <c r="G37" s="13">
        <v>6.9</v>
      </c>
    </row>
    <row r="38" spans="1:7" ht="15" thickBot="1" x14ac:dyDescent="0.35">
      <c r="A38" s="4" t="s">
        <v>41</v>
      </c>
      <c r="B38" s="11">
        <v>0.47599999999999998</v>
      </c>
      <c r="C38" s="12">
        <v>0.42</v>
      </c>
      <c r="D38" s="13">
        <v>7.9</v>
      </c>
      <c r="E38" s="11">
        <v>0.49</v>
      </c>
      <c r="F38" s="12">
        <v>0.42</v>
      </c>
      <c r="G38" s="13">
        <v>6.9</v>
      </c>
    </row>
    <row r="39" spans="1:7" ht="15" thickBot="1" x14ac:dyDescent="0.35">
      <c r="A39" s="4" t="s">
        <v>42</v>
      </c>
      <c r="B39" s="11">
        <v>0.55000000000000004</v>
      </c>
      <c r="C39" s="12">
        <v>0.38</v>
      </c>
      <c r="D39" s="13">
        <v>14.8</v>
      </c>
      <c r="E39" s="11">
        <v>0.55700000000000005</v>
      </c>
      <c r="F39" s="12">
        <v>0.38</v>
      </c>
      <c r="G39" s="13">
        <v>12.5</v>
      </c>
    </row>
    <row r="40" spans="1:7" ht="15" thickBot="1" x14ac:dyDescent="0.35">
      <c r="A40" s="4" t="s">
        <v>43</v>
      </c>
      <c r="B40" s="11">
        <v>0.504</v>
      </c>
      <c r="C40" s="12">
        <v>0.38</v>
      </c>
      <c r="D40" s="13">
        <v>14.8</v>
      </c>
      <c r="E40" s="11">
        <v>0.52</v>
      </c>
      <c r="F40" s="12">
        <v>0.38</v>
      </c>
      <c r="G40" s="13">
        <v>12.5</v>
      </c>
    </row>
    <row r="41" spans="1:7" ht="15" thickBot="1" x14ac:dyDescent="0.35">
      <c r="A41" s="4" t="s">
        <v>44</v>
      </c>
      <c r="B41" s="11">
        <v>0.40300000000000002</v>
      </c>
      <c r="C41" s="12">
        <v>0.38</v>
      </c>
      <c r="D41" s="13">
        <v>1.4</v>
      </c>
      <c r="E41" s="11">
        <v>0.40600000000000003</v>
      </c>
      <c r="F41" s="12">
        <v>0.38</v>
      </c>
      <c r="G41" s="13">
        <v>1.2</v>
      </c>
    </row>
    <row r="42" spans="1:7" ht="15" thickBot="1" x14ac:dyDescent="0.35">
      <c r="A42" s="4" t="s">
        <v>45</v>
      </c>
      <c r="B42" s="11">
        <v>0.36799999999999999</v>
      </c>
      <c r="C42" s="12">
        <v>0.39</v>
      </c>
      <c r="D42" s="13">
        <v>1.4</v>
      </c>
      <c r="E42" s="11">
        <v>0.374</v>
      </c>
      <c r="F42" s="12">
        <v>0.39</v>
      </c>
      <c r="G42" s="13">
        <v>1.2</v>
      </c>
    </row>
    <row r="43" spans="1:7" ht="15" thickBot="1" x14ac:dyDescent="0.35">
      <c r="A43" s="4" t="s">
        <v>46</v>
      </c>
      <c r="B43" s="11">
        <v>0.53100000000000003</v>
      </c>
      <c r="C43" s="12">
        <v>0.43</v>
      </c>
      <c r="D43" s="13">
        <v>11.4</v>
      </c>
      <c r="E43" s="11">
        <v>0.53700000000000003</v>
      </c>
      <c r="F43" s="12">
        <v>0.43</v>
      </c>
      <c r="G43" s="13">
        <v>9.8000000000000007</v>
      </c>
    </row>
    <row r="44" spans="1:7" ht="15" thickBot="1" x14ac:dyDescent="0.35">
      <c r="A44" s="4" t="s">
        <v>47</v>
      </c>
      <c r="B44" s="11">
        <v>0.496</v>
      </c>
      <c r="C44" s="12">
        <v>0.43</v>
      </c>
      <c r="D44" s="13">
        <v>11.4</v>
      </c>
      <c r="E44" s="11">
        <v>0.51</v>
      </c>
      <c r="F44" s="12">
        <v>0.43</v>
      </c>
      <c r="G44" s="13">
        <v>9.8000000000000007</v>
      </c>
    </row>
    <row r="45" spans="1:7" ht="15" thickBot="1" x14ac:dyDescent="0.35">
      <c r="A45" s="4" t="s">
        <v>48</v>
      </c>
      <c r="B45" s="11">
        <v>0.498</v>
      </c>
      <c r="C45" s="12">
        <v>0.4</v>
      </c>
      <c r="D45" s="13">
        <v>17.8</v>
      </c>
      <c r="E45" s="11">
        <v>0.501</v>
      </c>
      <c r="F45" s="12">
        <v>0.39</v>
      </c>
      <c r="G45" s="13">
        <v>14.4</v>
      </c>
    </row>
    <row r="46" spans="1:7" ht="15" thickBot="1" x14ac:dyDescent="0.35">
      <c r="A46" s="4" t="s">
        <v>49</v>
      </c>
      <c r="B46" s="11">
        <v>0.49399999999999999</v>
      </c>
      <c r="C46" s="12">
        <v>0.4</v>
      </c>
      <c r="D46" s="13">
        <v>17.8</v>
      </c>
      <c r="E46" s="11">
        <v>0.499</v>
      </c>
      <c r="F46" s="12">
        <v>0.4</v>
      </c>
      <c r="G46" s="13">
        <v>14.4</v>
      </c>
    </row>
    <row r="47" spans="1:7" ht="15" thickBot="1" x14ac:dyDescent="0.35">
      <c r="A47" s="4" t="s">
        <v>50</v>
      </c>
      <c r="B47" s="11">
        <v>0.55700000000000005</v>
      </c>
      <c r="C47" s="12">
        <v>0.38</v>
      </c>
      <c r="D47" s="13">
        <v>10.199999999999999</v>
      </c>
      <c r="E47" s="11">
        <v>0.56899999999999995</v>
      </c>
      <c r="F47" s="12">
        <v>0.38</v>
      </c>
      <c r="G47" s="13">
        <v>9</v>
      </c>
    </row>
    <row r="48" spans="1:7" ht="15" thickBot="1" x14ac:dyDescent="0.35">
      <c r="A48" s="4" t="s">
        <v>51</v>
      </c>
      <c r="B48" s="11">
        <v>0.50900000000000001</v>
      </c>
      <c r="C48" s="12">
        <v>0.39</v>
      </c>
      <c r="D48" s="13">
        <v>10.199999999999999</v>
      </c>
      <c r="E48" s="11">
        <v>0.52900000000000003</v>
      </c>
      <c r="F48" s="12">
        <v>0.39</v>
      </c>
      <c r="G48" s="13">
        <v>9</v>
      </c>
    </row>
    <row r="49" spans="1:7" ht="15" thickBot="1" x14ac:dyDescent="0.35">
      <c r="A49" s="4" t="s">
        <v>52</v>
      </c>
      <c r="B49" s="11">
        <v>0.44900000000000001</v>
      </c>
      <c r="C49" s="12">
        <v>0.4</v>
      </c>
      <c r="D49" s="13">
        <v>10.199999999999999</v>
      </c>
      <c r="E49" s="11">
        <v>0.45300000000000001</v>
      </c>
      <c r="F49" s="12">
        <v>0.4</v>
      </c>
      <c r="G49" s="13">
        <v>8.4</v>
      </c>
    </row>
    <row r="50" spans="1:7" ht="15" thickBot="1" x14ac:dyDescent="0.35">
      <c r="A50" s="4" t="s">
        <v>53</v>
      </c>
      <c r="B50" s="11">
        <v>0.40500000000000003</v>
      </c>
      <c r="C50" s="12">
        <v>0.4</v>
      </c>
      <c r="D50" s="13">
        <v>10.199999999999999</v>
      </c>
      <c r="E50" s="11">
        <v>0.42</v>
      </c>
      <c r="F50" s="12">
        <v>0.4</v>
      </c>
      <c r="G50" s="13">
        <v>8.4</v>
      </c>
    </row>
    <row r="51" spans="1:7" ht="15" thickBot="1" x14ac:dyDescent="0.35">
      <c r="A51" s="4" t="s">
        <v>54</v>
      </c>
      <c r="B51" s="11">
        <v>0.626</v>
      </c>
      <c r="C51" s="12">
        <v>0.39</v>
      </c>
      <c r="D51" s="13">
        <v>15.2</v>
      </c>
      <c r="E51" s="11">
        <v>0.623</v>
      </c>
      <c r="F51" s="12">
        <v>0.39</v>
      </c>
      <c r="G51" s="13">
        <v>11.5</v>
      </c>
    </row>
    <row r="52" spans="1:7" ht="15" thickBot="1" x14ac:dyDescent="0.35">
      <c r="A52" s="4" t="s">
        <v>55</v>
      </c>
      <c r="B52" s="11">
        <v>0.58299999999999996</v>
      </c>
      <c r="C52" s="12">
        <v>0.39</v>
      </c>
      <c r="D52" s="13">
        <v>15.2</v>
      </c>
      <c r="E52" s="11">
        <v>0.58699999999999997</v>
      </c>
      <c r="F52" s="12">
        <v>0.39</v>
      </c>
      <c r="G52" s="13">
        <v>11.5</v>
      </c>
    </row>
    <row r="53" spans="1:7" ht="15" thickBot="1" x14ac:dyDescent="0.35">
      <c r="A53" s="4" t="s">
        <v>56</v>
      </c>
      <c r="B53" s="11">
        <v>0.57899999999999996</v>
      </c>
      <c r="C53" s="12">
        <v>0.42</v>
      </c>
      <c r="D53" s="13">
        <v>18.399999999999999</v>
      </c>
      <c r="E53" s="11">
        <v>0.57199999999999995</v>
      </c>
      <c r="F53" s="12">
        <v>0.42</v>
      </c>
      <c r="G53" s="13">
        <v>14.5</v>
      </c>
    </row>
    <row r="54" spans="1:7" ht="15" thickBot="1" x14ac:dyDescent="0.35">
      <c r="A54" s="4" t="s">
        <v>57</v>
      </c>
      <c r="B54" s="11">
        <v>0.54300000000000004</v>
      </c>
      <c r="C54" s="12">
        <v>0.43</v>
      </c>
      <c r="D54" s="13">
        <v>18.399999999999999</v>
      </c>
      <c r="E54" s="11">
        <v>0.54600000000000004</v>
      </c>
      <c r="F54" s="12">
        <v>0.42</v>
      </c>
      <c r="G54" s="13">
        <v>14.5</v>
      </c>
    </row>
    <row r="55" spans="1:7" ht="15" thickBot="1" x14ac:dyDescent="0.35">
      <c r="A55" s="4" t="s">
        <v>58</v>
      </c>
      <c r="B55" s="11">
        <v>0.57499999999999996</v>
      </c>
      <c r="C55" s="12">
        <v>0.38</v>
      </c>
      <c r="D55" s="13">
        <v>14.6</v>
      </c>
      <c r="E55" s="11">
        <v>0.56699999999999995</v>
      </c>
      <c r="F55" s="12">
        <v>0.37</v>
      </c>
      <c r="G55" s="13">
        <v>10.5</v>
      </c>
    </row>
    <row r="56" spans="1:7" ht="15" thickBot="1" x14ac:dyDescent="0.35">
      <c r="A56" s="4" t="s">
        <v>59</v>
      </c>
      <c r="B56" s="11">
        <v>0.52500000000000002</v>
      </c>
      <c r="C56" s="12">
        <v>0.39</v>
      </c>
      <c r="D56" s="13">
        <v>14.6</v>
      </c>
      <c r="E56" s="11">
        <v>0.52400000000000002</v>
      </c>
      <c r="F56" s="12">
        <v>0.38</v>
      </c>
      <c r="G56" s="13">
        <v>10.5</v>
      </c>
    </row>
    <row r="57" spans="1:7" ht="15" thickBot="1" x14ac:dyDescent="0.35">
      <c r="A57" s="4" t="s">
        <v>60</v>
      </c>
      <c r="B57" s="11">
        <v>0.50800000000000001</v>
      </c>
      <c r="C57" s="12">
        <v>0.39</v>
      </c>
      <c r="D57" s="13">
        <v>16.7</v>
      </c>
      <c r="E57" s="11">
        <v>0.51600000000000001</v>
      </c>
      <c r="F57" s="12">
        <v>0.39</v>
      </c>
      <c r="G57" s="13">
        <v>14</v>
      </c>
    </row>
    <row r="58" spans="1:7" ht="15" thickBot="1" x14ac:dyDescent="0.35">
      <c r="A58" s="4" t="s">
        <v>61</v>
      </c>
      <c r="B58" s="11">
        <v>0.46600000000000003</v>
      </c>
      <c r="C58" s="12">
        <v>0.39</v>
      </c>
      <c r="D58" s="13">
        <v>16.7</v>
      </c>
      <c r="E58" s="11">
        <v>0.48099999999999998</v>
      </c>
      <c r="F58" s="12">
        <v>0.39</v>
      </c>
      <c r="G58" s="13">
        <v>14</v>
      </c>
    </row>
    <row r="59" spans="1:7" ht="15" thickBot="1" x14ac:dyDescent="0.35">
      <c r="A59" s="4" t="s">
        <v>62</v>
      </c>
      <c r="B59" s="11">
        <v>0.58699999999999997</v>
      </c>
      <c r="C59" s="12">
        <v>0.39</v>
      </c>
      <c r="D59" s="13">
        <v>9.4</v>
      </c>
      <c r="E59" s="11">
        <v>0.57599999999999996</v>
      </c>
      <c r="F59" s="12">
        <v>0.38</v>
      </c>
      <c r="G59" s="13">
        <v>6.6</v>
      </c>
    </row>
    <row r="60" spans="1:7" ht="15" thickBot="1" x14ac:dyDescent="0.35">
      <c r="A60" s="4" t="s">
        <v>63</v>
      </c>
      <c r="B60" s="11">
        <v>0.53700000000000003</v>
      </c>
      <c r="C60" s="12">
        <v>0.4</v>
      </c>
      <c r="D60" s="13">
        <v>9.4</v>
      </c>
      <c r="E60" s="11">
        <v>0.53200000000000003</v>
      </c>
      <c r="F60" s="12">
        <v>0.39</v>
      </c>
      <c r="G60" s="13">
        <v>6.6</v>
      </c>
    </row>
    <row r="61" spans="1:7" ht="15" thickBot="1" x14ac:dyDescent="0.35">
      <c r="A61" s="4" t="s">
        <v>64</v>
      </c>
      <c r="B61" s="11">
        <v>0.58699999999999997</v>
      </c>
      <c r="C61" s="12">
        <v>0.43</v>
      </c>
      <c r="D61" s="13">
        <v>18.3</v>
      </c>
      <c r="E61" s="11">
        <v>0.59799999999999998</v>
      </c>
      <c r="F61" s="12">
        <v>0.43</v>
      </c>
      <c r="G61" s="13">
        <v>15.7</v>
      </c>
    </row>
    <row r="62" spans="1:7" ht="15" thickBot="1" x14ac:dyDescent="0.35">
      <c r="A62" s="4" t="s">
        <v>65</v>
      </c>
      <c r="B62" s="11">
        <v>0.57099999999999995</v>
      </c>
      <c r="C62" s="12">
        <v>0.43</v>
      </c>
      <c r="D62" s="13">
        <v>18.3</v>
      </c>
      <c r="E62" s="11">
        <v>0.59199999999999997</v>
      </c>
      <c r="F62" s="12">
        <v>0.43</v>
      </c>
      <c r="G62" s="13">
        <v>15.7</v>
      </c>
    </row>
    <row r="63" spans="1:7" ht="15" thickBot="1" x14ac:dyDescent="0.35">
      <c r="A63" s="4" t="s">
        <v>66</v>
      </c>
      <c r="B63" s="11">
        <v>0.56699999999999995</v>
      </c>
      <c r="C63" s="12">
        <v>0.39</v>
      </c>
      <c r="D63" s="13">
        <v>9.6</v>
      </c>
      <c r="E63" s="11">
        <v>0.56999999999999995</v>
      </c>
      <c r="F63" s="12">
        <v>0.39</v>
      </c>
      <c r="G63" s="13">
        <v>7.9</v>
      </c>
    </row>
    <row r="64" spans="1:7" ht="15" thickBot="1" x14ac:dyDescent="0.35">
      <c r="A64" s="4" t="s">
        <v>67</v>
      </c>
      <c r="B64" s="11">
        <v>0.53500000000000003</v>
      </c>
      <c r="C64" s="12">
        <v>0.39</v>
      </c>
      <c r="D64" s="13">
        <v>9.6</v>
      </c>
      <c r="E64" s="11">
        <v>0.54500000000000004</v>
      </c>
      <c r="F64" s="12">
        <v>0.39</v>
      </c>
      <c r="G64" s="13">
        <v>7.9</v>
      </c>
    </row>
    <row r="65" spans="1:7" ht="15" thickBot="1" x14ac:dyDescent="0.35">
      <c r="A65" s="4" t="s">
        <v>68</v>
      </c>
      <c r="B65" s="11">
        <v>0.47699999999999998</v>
      </c>
      <c r="C65" s="12">
        <v>0.39</v>
      </c>
      <c r="D65" s="13">
        <v>16.600000000000001</v>
      </c>
      <c r="E65" s="11">
        <v>0.47699999999999998</v>
      </c>
      <c r="F65" s="12">
        <v>0.39</v>
      </c>
      <c r="G65" s="13">
        <v>13.4</v>
      </c>
    </row>
    <row r="66" spans="1:7" ht="15" thickBot="1" x14ac:dyDescent="0.35">
      <c r="A66" s="4" t="s">
        <v>69</v>
      </c>
      <c r="B66" s="11">
        <v>0.434</v>
      </c>
      <c r="C66" s="12">
        <v>0.39</v>
      </c>
      <c r="D66" s="13">
        <v>16.600000000000001</v>
      </c>
      <c r="E66" s="11">
        <v>0.44400000000000001</v>
      </c>
      <c r="F66" s="12">
        <v>0.39</v>
      </c>
      <c r="G66" s="13">
        <v>13.4</v>
      </c>
    </row>
    <row r="67" spans="1:7" ht="15" thickBot="1" x14ac:dyDescent="0.35">
      <c r="A67" s="4" t="s">
        <v>70</v>
      </c>
      <c r="B67" s="11">
        <v>0.56899999999999995</v>
      </c>
      <c r="C67" s="12">
        <v>0.39</v>
      </c>
      <c r="D67" s="13">
        <v>8.6</v>
      </c>
      <c r="E67" s="11">
        <v>0.56299999999999994</v>
      </c>
      <c r="F67" s="12">
        <v>0.38</v>
      </c>
      <c r="G67" s="13">
        <v>6.6</v>
      </c>
    </row>
    <row r="68" spans="1:7" ht="15" thickBot="1" x14ac:dyDescent="0.35">
      <c r="A68" s="4" t="s">
        <v>71</v>
      </c>
      <c r="B68" s="11">
        <v>0.51800000000000002</v>
      </c>
      <c r="C68" s="12">
        <v>0.39</v>
      </c>
      <c r="D68" s="13">
        <v>8.6</v>
      </c>
      <c r="E68" s="11">
        <v>0.52</v>
      </c>
      <c r="F68" s="12">
        <v>0.39</v>
      </c>
      <c r="G68" s="13">
        <v>6.6</v>
      </c>
    </row>
    <row r="69" spans="1:7" ht="15" thickBot="1" x14ac:dyDescent="0.35">
      <c r="A69" s="4" t="s">
        <v>72</v>
      </c>
      <c r="B69" s="11">
        <v>0.498</v>
      </c>
      <c r="C69" s="12">
        <v>0.4</v>
      </c>
      <c r="D69" s="13">
        <v>16.3</v>
      </c>
      <c r="E69" s="11">
        <v>0.499</v>
      </c>
      <c r="F69" s="12">
        <v>0.39</v>
      </c>
      <c r="G69" s="13">
        <v>13.1</v>
      </c>
    </row>
    <row r="70" spans="1:7" ht="15" thickBot="1" x14ac:dyDescent="0.35">
      <c r="A70" s="4" t="s">
        <v>73</v>
      </c>
      <c r="B70" s="11">
        <v>0.45800000000000002</v>
      </c>
      <c r="C70" s="12">
        <v>0.4</v>
      </c>
      <c r="D70" s="13">
        <v>16.3</v>
      </c>
      <c r="E70" s="11">
        <v>0.46800000000000003</v>
      </c>
      <c r="F70" s="12">
        <v>0.4</v>
      </c>
      <c r="G70" s="13">
        <v>13.1</v>
      </c>
    </row>
    <row r="71" spans="1:7" ht="15" thickBot="1" x14ac:dyDescent="0.35">
      <c r="A71" s="4" t="s">
        <v>74</v>
      </c>
      <c r="B71" s="11">
        <v>0.27700000000000002</v>
      </c>
      <c r="C71" s="12">
        <v>0.39</v>
      </c>
      <c r="D71" s="13">
        <v>1.1000000000000001</v>
      </c>
      <c r="E71" s="11">
        <v>0.27900000000000003</v>
      </c>
      <c r="F71" s="12">
        <v>0.39</v>
      </c>
      <c r="G71" s="13">
        <v>1</v>
      </c>
    </row>
    <row r="72" spans="1:7" ht="15" thickBot="1" x14ac:dyDescent="0.35">
      <c r="A72" s="4" t="s">
        <v>75</v>
      </c>
      <c r="B72" s="11">
        <v>0.24199999999999999</v>
      </c>
      <c r="C72" s="12">
        <v>0.39</v>
      </c>
      <c r="D72" s="13">
        <v>1.1000000000000001</v>
      </c>
      <c r="E72" s="11">
        <v>0.246</v>
      </c>
      <c r="F72" s="12">
        <v>0.39</v>
      </c>
      <c r="G72" s="13">
        <v>1</v>
      </c>
    </row>
    <row r="73" spans="1:7" ht="15" thickBot="1" x14ac:dyDescent="0.35">
      <c r="A73" s="4" t="s">
        <v>76</v>
      </c>
      <c r="B73" s="11">
        <v>0.44400000000000001</v>
      </c>
      <c r="C73" s="12">
        <v>0.4</v>
      </c>
      <c r="D73" s="13">
        <v>7.4</v>
      </c>
      <c r="E73" s="11">
        <v>0.432</v>
      </c>
      <c r="F73" s="12">
        <v>0.39</v>
      </c>
      <c r="G73" s="13">
        <v>5.6</v>
      </c>
    </row>
    <row r="74" spans="1:7" ht="15" thickBot="1" x14ac:dyDescent="0.35">
      <c r="A74" s="4" t="s">
        <v>77</v>
      </c>
      <c r="B74" s="11">
        <v>0.41899999999999998</v>
      </c>
      <c r="C74" s="12">
        <v>0.4</v>
      </c>
      <c r="D74" s="13">
        <v>7.4</v>
      </c>
      <c r="E74" s="11">
        <v>0.41499999999999998</v>
      </c>
      <c r="F74" s="12">
        <v>0.39</v>
      </c>
      <c r="G74" s="13">
        <v>5.6</v>
      </c>
    </row>
    <row r="75" spans="1:7" ht="15" thickBot="1" x14ac:dyDescent="0.35">
      <c r="A75" s="4" t="s">
        <v>78</v>
      </c>
      <c r="B75" s="11">
        <v>0.39600000000000002</v>
      </c>
      <c r="C75" s="12">
        <v>0.39</v>
      </c>
      <c r="D75" s="13">
        <v>6</v>
      </c>
      <c r="E75" s="11">
        <v>0.39500000000000002</v>
      </c>
      <c r="F75" s="12">
        <v>0.39</v>
      </c>
      <c r="G75" s="13">
        <v>5</v>
      </c>
    </row>
    <row r="76" spans="1:7" ht="15" thickBot="1" x14ac:dyDescent="0.35">
      <c r="A76" s="4" t="s">
        <v>79</v>
      </c>
      <c r="B76" s="11">
        <v>0.375</v>
      </c>
      <c r="C76" s="12">
        <v>0.39</v>
      </c>
      <c r="D76" s="13">
        <v>6</v>
      </c>
      <c r="E76" s="11">
        <v>0.379</v>
      </c>
      <c r="F76" s="12">
        <v>0.39</v>
      </c>
      <c r="G76" s="13">
        <v>5</v>
      </c>
    </row>
    <row r="77" spans="1:7" ht="15" thickBot="1" x14ac:dyDescent="0.35">
      <c r="A77" s="4" t="s">
        <v>80</v>
      </c>
      <c r="B77" s="11">
        <v>0.48499999999999999</v>
      </c>
      <c r="C77" s="12">
        <v>0.4</v>
      </c>
      <c r="D77" s="13">
        <v>12.9</v>
      </c>
      <c r="E77" s="11">
        <v>0.49</v>
      </c>
      <c r="F77" s="12">
        <v>0.4</v>
      </c>
      <c r="G77" s="13">
        <v>10.8</v>
      </c>
    </row>
    <row r="78" spans="1:7" ht="15" thickBot="1" x14ac:dyDescent="0.35">
      <c r="A78" s="4" t="s">
        <v>81</v>
      </c>
      <c r="B78" s="11">
        <v>0.45100000000000001</v>
      </c>
      <c r="C78" s="12">
        <v>0.4</v>
      </c>
      <c r="D78" s="13">
        <v>12.9</v>
      </c>
      <c r="E78" s="11">
        <v>0.46500000000000002</v>
      </c>
      <c r="F78" s="12">
        <v>0.4</v>
      </c>
      <c r="G78" s="13">
        <v>10.8</v>
      </c>
    </row>
    <row r="79" spans="1:7" ht="15" thickBot="1" x14ac:dyDescent="0.35">
      <c r="A79" s="4" t="s">
        <v>82</v>
      </c>
      <c r="B79" s="11">
        <v>0.54400000000000004</v>
      </c>
      <c r="C79" s="12">
        <v>0.39</v>
      </c>
      <c r="D79" s="13">
        <v>18.100000000000001</v>
      </c>
      <c r="E79" s="11">
        <v>0.55600000000000005</v>
      </c>
      <c r="F79" s="12">
        <v>0.38</v>
      </c>
      <c r="G79" s="13">
        <v>15.7</v>
      </c>
    </row>
    <row r="80" spans="1:7" ht="15" thickBot="1" x14ac:dyDescent="0.35">
      <c r="A80" s="4" t="s">
        <v>83</v>
      </c>
      <c r="B80" s="11">
        <v>0.49</v>
      </c>
      <c r="C80" s="12">
        <v>0.39</v>
      </c>
      <c r="D80" s="13">
        <v>18.100000000000001</v>
      </c>
      <c r="E80" s="11">
        <v>0.51400000000000001</v>
      </c>
      <c r="F80" s="12">
        <v>0.39</v>
      </c>
      <c r="G80" s="13">
        <v>15.7</v>
      </c>
    </row>
    <row r="81" spans="1:7" ht="15" thickBot="1" x14ac:dyDescent="0.35">
      <c r="A81" s="4" t="s">
        <v>84</v>
      </c>
      <c r="B81" s="11">
        <v>0.45700000000000002</v>
      </c>
      <c r="C81" s="12">
        <v>0.39</v>
      </c>
      <c r="D81" s="13">
        <v>9.9</v>
      </c>
      <c r="E81" s="11">
        <v>0.46700000000000003</v>
      </c>
      <c r="F81" s="12">
        <v>0.39</v>
      </c>
      <c r="G81" s="13">
        <v>8.6999999999999993</v>
      </c>
    </row>
    <row r="82" spans="1:7" ht="15" thickBot="1" x14ac:dyDescent="0.35">
      <c r="A82" s="4" t="s">
        <v>85</v>
      </c>
      <c r="B82" s="11">
        <v>0.41799999999999998</v>
      </c>
      <c r="C82" s="12">
        <v>0.39</v>
      </c>
      <c r="D82" s="13">
        <v>9.9</v>
      </c>
      <c r="E82" s="11">
        <v>0.435</v>
      </c>
      <c r="F82" s="12">
        <v>0.39</v>
      </c>
      <c r="G82" s="13">
        <v>8.6999999999999993</v>
      </c>
    </row>
    <row r="83" spans="1:7" ht="15" thickBot="1" x14ac:dyDescent="0.35">
      <c r="A83" s="4" t="s">
        <v>86</v>
      </c>
      <c r="B83" s="11">
        <v>0.64900000000000002</v>
      </c>
      <c r="C83" s="12">
        <v>0.42</v>
      </c>
      <c r="D83" s="13">
        <v>10</v>
      </c>
      <c r="E83" s="11">
        <v>0.62</v>
      </c>
      <c r="F83" s="12">
        <v>0.4</v>
      </c>
      <c r="G83" s="13">
        <v>6.7</v>
      </c>
    </row>
    <row r="84" spans="1:7" ht="15" thickBot="1" x14ac:dyDescent="0.35">
      <c r="A84" s="4" t="s">
        <v>87</v>
      </c>
      <c r="B84" s="11">
        <v>0.61</v>
      </c>
      <c r="C84" s="12">
        <v>0.42</v>
      </c>
      <c r="D84" s="13">
        <v>10</v>
      </c>
      <c r="E84" s="11">
        <v>0.58399999999999996</v>
      </c>
      <c r="F84" s="12">
        <v>0.4</v>
      </c>
      <c r="G84" s="13">
        <v>6.7</v>
      </c>
    </row>
    <row r="85" spans="1:7" ht="15" thickBot="1" x14ac:dyDescent="0.35">
      <c r="A85" s="4" t="s">
        <v>88</v>
      </c>
      <c r="B85" s="11">
        <v>0.46400000000000002</v>
      </c>
      <c r="C85" s="12">
        <v>0.38</v>
      </c>
      <c r="D85" s="13">
        <v>10.3</v>
      </c>
      <c r="E85" s="11">
        <v>0.47099999999999997</v>
      </c>
      <c r="F85" s="12">
        <v>0.38</v>
      </c>
      <c r="G85" s="13">
        <v>8.9</v>
      </c>
    </row>
    <row r="86" spans="1:7" ht="15" thickBot="1" x14ac:dyDescent="0.35">
      <c r="A86" s="4" t="s">
        <v>89</v>
      </c>
      <c r="B86" s="11">
        <v>0.42899999999999999</v>
      </c>
      <c r="C86" s="12">
        <v>0.38</v>
      </c>
      <c r="D86" s="13">
        <v>10.3</v>
      </c>
      <c r="E86" s="11">
        <v>0.44400000000000001</v>
      </c>
      <c r="F86" s="12">
        <v>0.38</v>
      </c>
      <c r="G86" s="13">
        <v>8.9</v>
      </c>
    </row>
    <row r="87" spans="1:7" ht="15" thickBot="1" x14ac:dyDescent="0.35">
      <c r="A87" s="4" t="s">
        <v>90</v>
      </c>
      <c r="B87" s="11">
        <v>0.69199999999999995</v>
      </c>
      <c r="C87" s="12">
        <v>0.45</v>
      </c>
      <c r="D87" s="13">
        <v>8.9</v>
      </c>
      <c r="E87" s="11">
        <v>0.69399999999999995</v>
      </c>
      <c r="F87" s="12">
        <v>0.45</v>
      </c>
      <c r="G87" s="13">
        <v>7.2</v>
      </c>
    </row>
    <row r="88" spans="1:7" ht="15" thickBot="1" x14ac:dyDescent="0.35">
      <c r="A88" s="4" t="s">
        <v>91</v>
      </c>
      <c r="B88" s="11">
        <v>0.65900000000000003</v>
      </c>
      <c r="C88" s="12">
        <v>0.46</v>
      </c>
      <c r="D88" s="13">
        <v>8.9</v>
      </c>
      <c r="E88" s="11">
        <v>0.67200000000000004</v>
      </c>
      <c r="F88" s="12">
        <v>0.45</v>
      </c>
      <c r="G88" s="13">
        <v>7.2</v>
      </c>
    </row>
    <row r="89" spans="1:7" ht="15" thickBot="1" x14ac:dyDescent="0.35">
      <c r="A89" s="4" t="s">
        <v>92</v>
      </c>
      <c r="B89" s="11">
        <v>0.53400000000000003</v>
      </c>
      <c r="C89" s="12">
        <v>0.45</v>
      </c>
      <c r="D89" s="13">
        <v>1.2</v>
      </c>
      <c r="E89" s="11">
        <v>0.53600000000000003</v>
      </c>
      <c r="F89" s="12">
        <v>0.45</v>
      </c>
      <c r="G89" s="13">
        <v>1</v>
      </c>
    </row>
    <row r="90" spans="1:7" ht="15" thickBot="1" x14ac:dyDescent="0.35">
      <c r="A90" s="4" t="s">
        <v>93</v>
      </c>
      <c r="B90" s="11">
        <v>0.504</v>
      </c>
      <c r="C90" s="12">
        <v>0.45</v>
      </c>
      <c r="D90" s="13">
        <v>1.2</v>
      </c>
      <c r="E90" s="11">
        <v>0.51300000000000001</v>
      </c>
      <c r="F90" s="12">
        <v>0.45</v>
      </c>
      <c r="G90" s="13">
        <v>1</v>
      </c>
    </row>
    <row r="91" spans="1:7" ht="15" thickBot="1" x14ac:dyDescent="0.35">
      <c r="A91" s="4" t="s">
        <v>94</v>
      </c>
      <c r="B91" s="11">
        <v>0.501</v>
      </c>
      <c r="C91" s="12">
        <v>0.39</v>
      </c>
      <c r="D91" s="13">
        <v>18.2</v>
      </c>
      <c r="E91" s="11">
        <v>0.51200000000000001</v>
      </c>
      <c r="F91" s="12">
        <v>0.39</v>
      </c>
      <c r="G91" s="13">
        <v>15.6</v>
      </c>
    </row>
    <row r="92" spans="1:7" ht="15" thickBot="1" x14ac:dyDescent="0.35">
      <c r="A92" s="4" t="s">
        <v>95</v>
      </c>
      <c r="B92" s="11">
        <v>0.45300000000000001</v>
      </c>
      <c r="C92" s="12">
        <v>0.39</v>
      </c>
      <c r="D92" s="13">
        <v>18.2</v>
      </c>
      <c r="E92" s="11">
        <v>0.47599999999999998</v>
      </c>
      <c r="F92" s="12">
        <v>0.39</v>
      </c>
      <c r="G92" s="13">
        <v>15.6</v>
      </c>
    </row>
    <row r="93" spans="1:7" ht="15" thickBot="1" x14ac:dyDescent="0.35">
      <c r="A93" s="4" t="s">
        <v>96</v>
      </c>
      <c r="B93" s="11">
        <v>0.52500000000000002</v>
      </c>
      <c r="C93" s="12">
        <v>0.4</v>
      </c>
      <c r="D93" s="13">
        <v>12.6</v>
      </c>
      <c r="E93" s="11">
        <v>0.53100000000000003</v>
      </c>
      <c r="F93" s="12">
        <v>0.4</v>
      </c>
      <c r="G93" s="13">
        <v>10.5</v>
      </c>
    </row>
    <row r="94" spans="1:7" ht="15" thickBot="1" x14ac:dyDescent="0.35">
      <c r="A94" s="4" t="s">
        <v>97</v>
      </c>
      <c r="B94" s="11">
        <v>0.47899999999999998</v>
      </c>
      <c r="C94" s="12">
        <v>0.4</v>
      </c>
      <c r="D94" s="13">
        <v>12.6</v>
      </c>
      <c r="E94" s="11">
        <v>0.49199999999999999</v>
      </c>
      <c r="F94" s="12">
        <v>0.4</v>
      </c>
      <c r="G94" s="13">
        <v>10.5</v>
      </c>
    </row>
    <row r="95" spans="1:7" ht="15" thickBot="1" x14ac:dyDescent="0.35">
      <c r="A95" s="4" t="s">
        <v>98</v>
      </c>
      <c r="B95" s="11">
        <v>0.69899999999999995</v>
      </c>
      <c r="C95" s="12">
        <v>0.45</v>
      </c>
      <c r="D95" s="13">
        <v>6.2</v>
      </c>
      <c r="E95" s="11">
        <v>0.70899999999999996</v>
      </c>
      <c r="F95" s="12">
        <v>0.45</v>
      </c>
      <c r="G95" s="13">
        <v>5.3</v>
      </c>
    </row>
    <row r="96" spans="1:7" ht="15" thickBot="1" x14ac:dyDescent="0.35">
      <c r="A96" s="4" t="s">
        <v>99</v>
      </c>
      <c r="B96" s="11">
        <v>0.66100000000000003</v>
      </c>
      <c r="C96" s="12">
        <v>0.45</v>
      </c>
      <c r="D96" s="13">
        <v>6.2</v>
      </c>
      <c r="E96" s="11">
        <v>0.68300000000000005</v>
      </c>
      <c r="F96" s="12">
        <v>0.45</v>
      </c>
      <c r="G96" s="13">
        <v>5.3</v>
      </c>
    </row>
    <row r="97" spans="1:7" ht="15" thickBot="1" x14ac:dyDescent="0.35">
      <c r="A97" s="4" t="s">
        <v>100</v>
      </c>
      <c r="B97" s="11">
        <v>0.624</v>
      </c>
      <c r="C97" s="12">
        <v>0.4</v>
      </c>
      <c r="D97" s="13">
        <v>13.9</v>
      </c>
      <c r="E97" s="11">
        <v>0.61699999999999999</v>
      </c>
      <c r="F97" s="12">
        <v>0.4</v>
      </c>
      <c r="G97" s="13">
        <v>10.199999999999999</v>
      </c>
    </row>
    <row r="98" spans="1:7" ht="15" thickBot="1" x14ac:dyDescent="0.35">
      <c r="A98" s="4" t="s">
        <v>101</v>
      </c>
      <c r="B98" s="11">
        <v>0.58499999999999996</v>
      </c>
      <c r="C98" s="12">
        <v>0.4</v>
      </c>
      <c r="D98" s="13">
        <v>13.9</v>
      </c>
      <c r="E98" s="11">
        <v>0.58599999999999997</v>
      </c>
      <c r="F98" s="12">
        <v>0.4</v>
      </c>
      <c r="G98" s="13">
        <v>10.199999999999999</v>
      </c>
    </row>
    <row r="99" spans="1:7" ht="15" thickBot="1" x14ac:dyDescent="0.35">
      <c r="A99" s="4" t="s">
        <v>102</v>
      </c>
      <c r="B99" s="11">
        <v>0.58899999999999997</v>
      </c>
      <c r="C99" s="12">
        <v>0.38</v>
      </c>
      <c r="D99" s="13">
        <v>9.5</v>
      </c>
      <c r="E99" s="11">
        <v>0.59099999999999997</v>
      </c>
      <c r="F99" s="12">
        <v>0.38</v>
      </c>
      <c r="G99" s="13">
        <v>7.7</v>
      </c>
    </row>
    <row r="100" spans="1:7" ht="15" thickBot="1" x14ac:dyDescent="0.35">
      <c r="A100" s="4" t="s">
        <v>103</v>
      </c>
      <c r="B100" s="11">
        <v>0.54100000000000004</v>
      </c>
      <c r="C100" s="12">
        <v>0.39</v>
      </c>
      <c r="D100" s="13">
        <v>9.5</v>
      </c>
      <c r="E100" s="11">
        <v>0.55000000000000004</v>
      </c>
      <c r="F100" s="12">
        <v>0.38</v>
      </c>
      <c r="G100" s="13">
        <v>7.7</v>
      </c>
    </row>
    <row r="101" spans="1:7" ht="15" thickBot="1" x14ac:dyDescent="0.35">
      <c r="A101" s="4" t="s">
        <v>104</v>
      </c>
      <c r="B101" s="11">
        <v>0.53</v>
      </c>
      <c r="C101" s="12">
        <v>0.41</v>
      </c>
      <c r="D101" s="13">
        <v>16</v>
      </c>
      <c r="E101" s="11">
        <v>0.53300000000000003</v>
      </c>
      <c r="F101" s="12">
        <v>0.4</v>
      </c>
      <c r="G101" s="13">
        <v>12.9</v>
      </c>
    </row>
    <row r="102" spans="1:7" ht="15" thickBot="1" x14ac:dyDescent="0.35">
      <c r="A102" s="4" t="s">
        <v>105</v>
      </c>
      <c r="B102" s="11">
        <v>0.48399999999999999</v>
      </c>
      <c r="C102" s="12">
        <v>0.41</v>
      </c>
      <c r="D102" s="13">
        <v>16</v>
      </c>
      <c r="E102" s="11">
        <v>0.498</v>
      </c>
      <c r="F102" s="12">
        <v>0.41</v>
      </c>
      <c r="G102" s="13">
        <v>12.9</v>
      </c>
    </row>
    <row r="103" spans="1:7" ht="15" thickBot="1" x14ac:dyDescent="0.35">
      <c r="A103" s="4" t="s">
        <v>106</v>
      </c>
      <c r="B103" s="11">
        <v>0.59199999999999997</v>
      </c>
      <c r="C103" s="12">
        <v>0.39</v>
      </c>
      <c r="D103" s="13">
        <v>7.3</v>
      </c>
      <c r="E103" s="11">
        <v>0.57899999999999996</v>
      </c>
      <c r="F103" s="12">
        <v>0.38</v>
      </c>
      <c r="G103" s="13">
        <v>5.2</v>
      </c>
    </row>
    <row r="104" spans="1:7" ht="15" thickBot="1" x14ac:dyDescent="0.35">
      <c r="A104" s="4" t="s">
        <v>107</v>
      </c>
      <c r="B104" s="11">
        <v>0.54200000000000004</v>
      </c>
      <c r="C104" s="12">
        <v>0.39</v>
      </c>
      <c r="D104" s="13">
        <v>7.3</v>
      </c>
      <c r="E104" s="11">
        <v>0.53200000000000003</v>
      </c>
      <c r="F104" s="12">
        <v>0.38</v>
      </c>
      <c r="G104" s="13">
        <v>5.2</v>
      </c>
    </row>
    <row r="105" spans="1:7" ht="15" thickBot="1" x14ac:dyDescent="0.35">
      <c r="A105" s="4" t="s">
        <v>108</v>
      </c>
      <c r="B105" s="11">
        <v>0.48599999999999999</v>
      </c>
      <c r="C105" s="12">
        <v>0.4</v>
      </c>
      <c r="D105" s="13">
        <v>10.7</v>
      </c>
      <c r="E105" s="11">
        <v>0.49099999999999999</v>
      </c>
      <c r="F105" s="12">
        <v>0.4</v>
      </c>
      <c r="G105" s="13">
        <v>8.8000000000000007</v>
      </c>
    </row>
    <row r="106" spans="1:7" ht="15" thickBot="1" x14ac:dyDescent="0.35">
      <c r="A106" s="4" t="s">
        <v>109</v>
      </c>
      <c r="B106" s="11">
        <v>0.434</v>
      </c>
      <c r="C106" s="12">
        <v>0.41</v>
      </c>
      <c r="D106" s="13">
        <v>10.7</v>
      </c>
      <c r="E106" s="11">
        <v>0.44900000000000001</v>
      </c>
      <c r="F106" s="12">
        <v>0.4</v>
      </c>
      <c r="G106" s="13">
        <v>8.8000000000000007</v>
      </c>
    </row>
    <row r="107" spans="1:7" ht="15" thickBot="1" x14ac:dyDescent="0.35">
      <c r="A107" s="4" t="s">
        <v>110</v>
      </c>
      <c r="B107" s="11">
        <v>0.53600000000000003</v>
      </c>
      <c r="C107" s="12">
        <v>0.39</v>
      </c>
      <c r="D107" s="13">
        <v>6.1</v>
      </c>
      <c r="E107" s="11">
        <v>0.51700000000000002</v>
      </c>
      <c r="F107" s="12">
        <v>0.38</v>
      </c>
      <c r="G107" s="13">
        <v>4.2</v>
      </c>
    </row>
    <row r="108" spans="1:7" ht="15" thickBot="1" x14ac:dyDescent="0.35">
      <c r="A108" s="4" t="s">
        <v>111</v>
      </c>
      <c r="B108" s="11">
        <v>0.495</v>
      </c>
      <c r="C108" s="12">
        <v>0.39</v>
      </c>
      <c r="D108" s="13">
        <v>6.1</v>
      </c>
      <c r="E108" s="11">
        <v>0.48</v>
      </c>
      <c r="F108" s="12">
        <v>0.38</v>
      </c>
      <c r="G108" s="13">
        <v>4.2</v>
      </c>
    </row>
    <row r="109" spans="1:7" ht="15" thickBot="1" x14ac:dyDescent="0.35">
      <c r="A109" s="4" t="s">
        <v>112</v>
      </c>
      <c r="B109" s="11">
        <v>0.47799999999999998</v>
      </c>
      <c r="C109" s="12">
        <v>0.41</v>
      </c>
      <c r="D109" s="13">
        <v>10.9</v>
      </c>
      <c r="E109" s="11">
        <v>0.47899999999999998</v>
      </c>
      <c r="F109" s="12">
        <v>0.41</v>
      </c>
      <c r="G109" s="13">
        <v>8.9</v>
      </c>
    </row>
    <row r="110" spans="1:7" ht="15" thickBot="1" x14ac:dyDescent="0.35">
      <c r="A110" s="4" t="s">
        <v>113</v>
      </c>
      <c r="B110" s="11">
        <v>0.45</v>
      </c>
      <c r="C110" s="12">
        <v>0.41</v>
      </c>
      <c r="D110" s="13">
        <v>10.9</v>
      </c>
      <c r="E110" s="11">
        <v>0.45400000000000001</v>
      </c>
      <c r="F110" s="12">
        <v>0.41</v>
      </c>
      <c r="G110" s="13">
        <v>8.9</v>
      </c>
    </row>
    <row r="111" spans="1:7" ht="15" thickBot="1" x14ac:dyDescent="0.35">
      <c r="A111" s="4" t="s">
        <v>114</v>
      </c>
      <c r="B111" s="11">
        <v>0.624</v>
      </c>
      <c r="C111" s="12">
        <v>0.41</v>
      </c>
      <c r="D111" s="13">
        <v>8.1999999999999993</v>
      </c>
      <c r="E111" s="11">
        <v>0.627</v>
      </c>
      <c r="F111" s="12">
        <v>0.41</v>
      </c>
      <c r="G111" s="13">
        <v>6.7</v>
      </c>
    </row>
    <row r="112" spans="1:7" ht="15" thickBot="1" x14ac:dyDescent="0.35">
      <c r="A112" s="4" t="s">
        <v>115</v>
      </c>
      <c r="B112" s="11">
        <v>0.58199999999999996</v>
      </c>
      <c r="C112" s="12">
        <v>0.41</v>
      </c>
      <c r="D112" s="13">
        <v>8.1999999999999993</v>
      </c>
      <c r="E112" s="11">
        <v>0.59599999999999997</v>
      </c>
      <c r="F112" s="12">
        <v>0.41</v>
      </c>
      <c r="G112" s="13">
        <v>6.7</v>
      </c>
    </row>
    <row r="113" spans="1:7" ht="15" thickBot="1" x14ac:dyDescent="0.35">
      <c r="A113" s="4" t="s">
        <v>116</v>
      </c>
      <c r="B113" s="11">
        <v>0.54100000000000004</v>
      </c>
      <c r="C113" s="12">
        <v>0.4</v>
      </c>
      <c r="D113" s="13">
        <v>21.7</v>
      </c>
      <c r="E113" s="11">
        <v>0.53800000000000003</v>
      </c>
      <c r="F113" s="12">
        <v>0.4</v>
      </c>
      <c r="G113" s="13">
        <v>17.399999999999999</v>
      </c>
    </row>
    <row r="114" spans="1:7" ht="15" thickBot="1" x14ac:dyDescent="0.35">
      <c r="A114" s="4" t="s">
        <v>117</v>
      </c>
      <c r="B114" s="11">
        <v>0.49199999999999999</v>
      </c>
      <c r="C114" s="12">
        <v>0.4</v>
      </c>
      <c r="D114" s="13">
        <v>21.7</v>
      </c>
      <c r="E114" s="11">
        <v>0.497</v>
      </c>
      <c r="F114" s="12">
        <v>0.4</v>
      </c>
      <c r="G114" s="13">
        <v>17.399999999999999</v>
      </c>
    </row>
    <row r="115" spans="1:7" ht="15" thickBot="1" x14ac:dyDescent="0.35">
      <c r="A115" s="4" t="s">
        <v>118</v>
      </c>
      <c r="B115" s="11">
        <v>0.57199999999999995</v>
      </c>
      <c r="C115" s="12">
        <v>0.4</v>
      </c>
      <c r="D115" s="13">
        <v>7.9</v>
      </c>
      <c r="E115" s="11">
        <v>0.55300000000000005</v>
      </c>
      <c r="F115" s="12">
        <v>0.39</v>
      </c>
      <c r="G115" s="13">
        <v>5.6</v>
      </c>
    </row>
    <row r="116" spans="1:7" ht="15" thickBot="1" x14ac:dyDescent="0.35">
      <c r="A116" s="4" t="s">
        <v>119</v>
      </c>
      <c r="B116" s="11">
        <v>0.52700000000000002</v>
      </c>
      <c r="C116" s="12">
        <v>0.4</v>
      </c>
      <c r="D116" s="13">
        <v>7.9</v>
      </c>
      <c r="E116" s="11">
        <v>0.51600000000000001</v>
      </c>
      <c r="F116" s="12">
        <v>0.39</v>
      </c>
      <c r="G116" s="13">
        <v>5.6</v>
      </c>
    </row>
    <row r="117" spans="1:7" ht="15" thickBot="1" x14ac:dyDescent="0.35">
      <c r="A117" s="4" t="s">
        <v>120</v>
      </c>
      <c r="B117" s="11">
        <v>0.52400000000000002</v>
      </c>
      <c r="C117" s="12">
        <v>0.4</v>
      </c>
      <c r="D117" s="13">
        <v>21.1</v>
      </c>
      <c r="E117" s="11">
        <v>0.52400000000000002</v>
      </c>
      <c r="F117" s="12">
        <v>0.4</v>
      </c>
      <c r="G117" s="13">
        <v>17.7</v>
      </c>
    </row>
    <row r="118" spans="1:7" ht="15" thickBot="1" x14ac:dyDescent="0.35">
      <c r="A118" s="4" t="s">
        <v>121</v>
      </c>
      <c r="B118" s="11">
        <v>0.51700000000000002</v>
      </c>
      <c r="C118" s="12">
        <v>0.4</v>
      </c>
      <c r="D118" s="13">
        <v>21.1</v>
      </c>
      <c r="E118" s="11">
        <v>0.52</v>
      </c>
      <c r="F118" s="12">
        <v>0.4</v>
      </c>
      <c r="G118" s="13">
        <v>17.7</v>
      </c>
    </row>
    <row r="119" spans="1:7" ht="15" thickBot="1" x14ac:dyDescent="0.35">
      <c r="A119" s="4" t="s">
        <v>122</v>
      </c>
      <c r="B119" s="11">
        <v>0.58699999999999997</v>
      </c>
      <c r="C119" s="12">
        <v>0.4</v>
      </c>
      <c r="D119" s="13">
        <v>9.1999999999999993</v>
      </c>
      <c r="E119" s="11">
        <v>0.56399999999999995</v>
      </c>
      <c r="F119" s="12">
        <v>0.39</v>
      </c>
      <c r="G119" s="13">
        <v>6.4</v>
      </c>
    </row>
    <row r="120" spans="1:7" ht="15" thickBot="1" x14ac:dyDescent="0.35">
      <c r="A120" s="4" t="s">
        <v>123</v>
      </c>
      <c r="B120" s="11">
        <v>0.57299999999999995</v>
      </c>
      <c r="C120" s="12">
        <v>0.4</v>
      </c>
      <c r="D120" s="13">
        <v>9.1999999999999993</v>
      </c>
      <c r="E120" s="11">
        <v>0.55300000000000005</v>
      </c>
      <c r="F120" s="12">
        <v>0.39</v>
      </c>
      <c r="G120" s="13">
        <v>6.4</v>
      </c>
    </row>
    <row r="121" spans="1:7" ht="15" thickBot="1" x14ac:dyDescent="0.35">
      <c r="A121" s="4" t="s">
        <v>124</v>
      </c>
      <c r="B121" s="11">
        <v>0.59299999999999997</v>
      </c>
      <c r="C121" s="12">
        <v>0.4</v>
      </c>
      <c r="D121" s="13">
        <v>8.6</v>
      </c>
      <c r="E121" s="11">
        <v>0.58199999999999996</v>
      </c>
      <c r="F121" s="12">
        <v>0.39</v>
      </c>
      <c r="G121" s="13">
        <v>6.1</v>
      </c>
    </row>
    <row r="122" spans="1:7" ht="15" thickBot="1" x14ac:dyDescent="0.35">
      <c r="A122" s="4" t="s">
        <v>125</v>
      </c>
      <c r="B122" s="11">
        <v>0.55100000000000005</v>
      </c>
      <c r="C122" s="12">
        <v>0.4</v>
      </c>
      <c r="D122" s="13">
        <v>8.6</v>
      </c>
      <c r="E122" s="11">
        <v>0.54400000000000004</v>
      </c>
      <c r="F122" s="12">
        <v>0.39</v>
      </c>
      <c r="G122" s="13">
        <v>6.1</v>
      </c>
    </row>
    <row r="123" spans="1:7" ht="15" thickBot="1" x14ac:dyDescent="0.35">
      <c r="A123" s="4" t="s">
        <v>126</v>
      </c>
      <c r="B123" s="11">
        <v>0.56799999999999995</v>
      </c>
      <c r="C123" s="12">
        <v>0.42</v>
      </c>
      <c r="D123" s="13">
        <v>18.8</v>
      </c>
      <c r="E123" s="11">
        <v>0.57599999999999996</v>
      </c>
      <c r="F123" s="12">
        <v>0.41</v>
      </c>
      <c r="G123" s="13">
        <v>15.4</v>
      </c>
    </row>
    <row r="124" spans="1:7" ht="15" thickBot="1" x14ac:dyDescent="0.35">
      <c r="A124" s="4" t="s">
        <v>127</v>
      </c>
      <c r="B124" s="11">
        <v>0.54300000000000004</v>
      </c>
      <c r="C124" s="12">
        <v>0.42</v>
      </c>
      <c r="D124" s="13">
        <v>18.8</v>
      </c>
      <c r="E124" s="11">
        <v>0.56200000000000006</v>
      </c>
      <c r="F124" s="12">
        <v>0.42</v>
      </c>
      <c r="G124" s="13">
        <v>15.4</v>
      </c>
    </row>
    <row r="125" spans="1:7" ht="15" thickBot="1" x14ac:dyDescent="0.35">
      <c r="A125" s="4" t="s">
        <v>128</v>
      </c>
      <c r="B125" s="11">
        <v>0.45800000000000002</v>
      </c>
      <c r="C125" s="12">
        <v>0.4</v>
      </c>
      <c r="D125" s="13">
        <v>8.8000000000000007</v>
      </c>
      <c r="E125" s="11">
        <v>0.45800000000000002</v>
      </c>
      <c r="F125" s="12">
        <v>0.4</v>
      </c>
      <c r="G125" s="13">
        <v>7.2</v>
      </c>
    </row>
    <row r="126" spans="1:7" ht="15" thickBot="1" x14ac:dyDescent="0.35">
      <c r="A126" s="4" t="s">
        <v>129</v>
      </c>
      <c r="B126" s="11">
        <v>0.41499999999999998</v>
      </c>
      <c r="C126" s="12">
        <v>0.4</v>
      </c>
      <c r="D126" s="13">
        <v>8.8000000000000007</v>
      </c>
      <c r="E126" s="11">
        <v>0.42</v>
      </c>
      <c r="F126" s="12">
        <v>0.4</v>
      </c>
      <c r="G126" s="13">
        <v>7.2</v>
      </c>
    </row>
    <row r="127" spans="1:7" ht="15" thickBot="1" x14ac:dyDescent="0.35">
      <c r="A127" s="4" t="s">
        <v>130</v>
      </c>
      <c r="B127" s="11">
        <v>0.59199999999999997</v>
      </c>
      <c r="C127" s="12">
        <v>0.39</v>
      </c>
      <c r="D127" s="13">
        <v>13.2</v>
      </c>
      <c r="E127" s="11">
        <v>0.58599999999999997</v>
      </c>
      <c r="F127" s="12">
        <v>0.39</v>
      </c>
      <c r="G127" s="13">
        <v>9.8000000000000007</v>
      </c>
    </row>
    <row r="128" spans="1:7" ht="15" thickBot="1" x14ac:dyDescent="0.35">
      <c r="A128" s="4" t="s">
        <v>131</v>
      </c>
      <c r="B128" s="11">
        <v>0.54400000000000004</v>
      </c>
      <c r="C128" s="12">
        <v>0.39</v>
      </c>
      <c r="D128" s="13">
        <v>13.2</v>
      </c>
      <c r="E128" s="11">
        <v>0.54900000000000004</v>
      </c>
      <c r="F128" s="12">
        <v>0.39</v>
      </c>
      <c r="G128" s="13">
        <v>9.8000000000000007</v>
      </c>
    </row>
    <row r="129" spans="1:7" ht="15" thickBot="1" x14ac:dyDescent="0.35">
      <c r="A129" s="4" t="s">
        <v>132</v>
      </c>
      <c r="B129" s="11">
        <v>0.60399999999999998</v>
      </c>
      <c r="C129" s="12">
        <v>0.42</v>
      </c>
      <c r="D129" s="13">
        <v>24.7</v>
      </c>
      <c r="E129" s="11">
        <v>0.60499999999999998</v>
      </c>
      <c r="F129" s="12">
        <v>0.42</v>
      </c>
      <c r="G129" s="13">
        <v>20.8</v>
      </c>
    </row>
    <row r="130" spans="1:7" ht="15" thickBot="1" x14ac:dyDescent="0.35">
      <c r="A130" s="4" t="s">
        <v>133</v>
      </c>
      <c r="B130" s="11">
        <v>0.60599999999999998</v>
      </c>
      <c r="C130" s="12">
        <v>0.42</v>
      </c>
      <c r="D130" s="13">
        <v>24.7</v>
      </c>
      <c r="E130" s="11">
        <v>0.61</v>
      </c>
      <c r="F130" s="12">
        <v>0.42</v>
      </c>
      <c r="G130" s="13">
        <v>20.8</v>
      </c>
    </row>
    <row r="131" spans="1:7" ht="15" thickBot="1" x14ac:dyDescent="0.35">
      <c r="A131" s="4" t="s">
        <v>134</v>
      </c>
      <c r="B131" s="11">
        <v>0.626</v>
      </c>
      <c r="C131" s="12">
        <v>0.41</v>
      </c>
      <c r="D131" s="13">
        <v>7</v>
      </c>
      <c r="E131" s="11">
        <v>0.627</v>
      </c>
      <c r="F131" s="12">
        <v>0.4</v>
      </c>
      <c r="G131" s="13">
        <v>5.6</v>
      </c>
    </row>
    <row r="132" spans="1:7" ht="15" thickBot="1" x14ac:dyDescent="0.35">
      <c r="A132" s="4" t="s">
        <v>135</v>
      </c>
      <c r="B132" s="11">
        <v>0.60099999999999998</v>
      </c>
      <c r="C132" s="12">
        <v>0.41</v>
      </c>
      <c r="D132" s="13">
        <v>7</v>
      </c>
      <c r="E132" s="11">
        <v>0.60799999999999998</v>
      </c>
      <c r="F132" s="12">
        <v>0.41</v>
      </c>
      <c r="G132" s="13">
        <v>5.6</v>
      </c>
    </row>
    <row r="133" spans="1:7" ht="15" thickBot="1" x14ac:dyDescent="0.35">
      <c r="A133" s="4" t="s">
        <v>136</v>
      </c>
      <c r="B133" s="11">
        <v>0.46800000000000003</v>
      </c>
      <c r="C133" s="12">
        <v>0.4</v>
      </c>
      <c r="D133" s="13">
        <v>8.1</v>
      </c>
      <c r="E133" s="11">
        <v>0.46500000000000002</v>
      </c>
      <c r="F133" s="12">
        <v>0.39</v>
      </c>
      <c r="G133" s="13">
        <v>6.4</v>
      </c>
    </row>
    <row r="134" spans="1:7" ht="15" thickBot="1" x14ac:dyDescent="0.35">
      <c r="A134" s="4" t="s">
        <v>137</v>
      </c>
      <c r="B134" s="11">
        <v>0.42599999999999999</v>
      </c>
      <c r="C134" s="12">
        <v>0.4</v>
      </c>
      <c r="D134" s="13">
        <v>8.1</v>
      </c>
      <c r="E134" s="11">
        <v>0.43099999999999999</v>
      </c>
      <c r="F134" s="12">
        <v>0.4</v>
      </c>
      <c r="G134" s="13">
        <v>6.4</v>
      </c>
    </row>
    <row r="135" spans="1:7" ht="15" thickBot="1" x14ac:dyDescent="0.35">
      <c r="A135" s="4" t="s">
        <v>138</v>
      </c>
      <c r="B135" s="11">
        <v>0.64900000000000002</v>
      </c>
      <c r="C135" s="12">
        <v>0.42</v>
      </c>
      <c r="D135" s="13">
        <v>9</v>
      </c>
      <c r="E135" s="11">
        <v>0.64</v>
      </c>
      <c r="F135" s="12">
        <v>0.41</v>
      </c>
      <c r="G135" s="13">
        <v>7.3</v>
      </c>
    </row>
    <row r="136" spans="1:7" ht="15" thickBot="1" x14ac:dyDescent="0.35">
      <c r="A136" s="4" t="s">
        <v>139</v>
      </c>
      <c r="B136" s="11">
        <v>0.61099999999999999</v>
      </c>
      <c r="C136" s="12">
        <v>0.42</v>
      </c>
      <c r="D136" s="13">
        <v>9</v>
      </c>
      <c r="E136" s="11">
        <v>0.60899999999999999</v>
      </c>
      <c r="F136" s="12">
        <v>0.41</v>
      </c>
      <c r="G136" s="13">
        <v>7.3</v>
      </c>
    </row>
    <row r="137" spans="1:7" ht="15" thickBot="1" x14ac:dyDescent="0.35">
      <c r="A137" s="4" t="s">
        <v>140</v>
      </c>
      <c r="B137" s="11">
        <v>0.45800000000000002</v>
      </c>
      <c r="C137" s="12">
        <v>0.39</v>
      </c>
      <c r="D137" s="13">
        <v>9.5</v>
      </c>
      <c r="E137" s="11">
        <v>0.45400000000000001</v>
      </c>
      <c r="F137" s="12">
        <v>0.39</v>
      </c>
      <c r="G137" s="13">
        <v>7.4</v>
      </c>
    </row>
    <row r="138" spans="1:7" x14ac:dyDescent="0.3">
      <c r="A138" s="4" t="s">
        <v>141</v>
      </c>
      <c r="B138" s="14">
        <v>0.40100000000000002</v>
      </c>
      <c r="C138" s="15">
        <v>0.4</v>
      </c>
      <c r="D138" s="16">
        <v>9.5</v>
      </c>
      <c r="E138" s="14">
        <v>0.41199999999999998</v>
      </c>
      <c r="F138" s="15">
        <v>0.4</v>
      </c>
      <c r="G138" s="16">
        <v>7.4</v>
      </c>
    </row>
    <row r="139" spans="1:7" x14ac:dyDescent="0.3">
      <c r="D139">
        <f>AVERAGE(D3:D138)</f>
        <v>11.267647058823529</v>
      </c>
      <c r="G139">
        <f>AVERAGE(G3:G138)</f>
        <v>9.0588235294117698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6642-490D-43AE-8878-81D56DBAFC2A}">
  <dimension ref="A1:G71"/>
  <sheetViews>
    <sheetView workbookViewId="0">
      <selection activeCell="B71" sqref="B71"/>
    </sheetView>
  </sheetViews>
  <sheetFormatPr defaultRowHeight="14.4" x14ac:dyDescent="0.3"/>
  <cols>
    <col min="1" max="1" width="31.33203125" bestFit="1" customWidth="1"/>
    <col min="2" max="2" width="31.33203125" customWidth="1"/>
    <col min="3" max="3" width="12.5546875" customWidth="1"/>
    <col min="4" max="4" width="17.6640625" bestFit="1" customWidth="1"/>
    <col min="5" max="5" width="22.6640625" bestFit="1" customWidth="1"/>
    <col min="6" max="6" width="21.88671875" bestFit="1" customWidth="1"/>
    <col min="7" max="7" width="16.6640625" bestFit="1" customWidth="1"/>
  </cols>
  <sheetData>
    <row r="1" spans="1:7" x14ac:dyDescent="0.3">
      <c r="A1" s="7" t="s">
        <v>2</v>
      </c>
      <c r="B1" s="7" t="s">
        <v>142</v>
      </c>
      <c r="C1" s="7" t="s">
        <v>143</v>
      </c>
      <c r="D1" s="8" t="s">
        <v>144</v>
      </c>
      <c r="E1" s="7" t="s">
        <v>145</v>
      </c>
      <c r="F1" s="7" t="s">
        <v>146</v>
      </c>
      <c r="G1" s="7" t="s">
        <v>147</v>
      </c>
    </row>
    <row r="2" spans="1:7" x14ac:dyDescent="0.3">
      <c r="A2" s="6" t="s">
        <v>6</v>
      </c>
      <c r="B2" s="6">
        <v>8166180</v>
      </c>
      <c r="C2" s="6">
        <v>100</v>
      </c>
      <c r="D2" s="5">
        <v>18.28</v>
      </c>
      <c r="E2" s="5">
        <v>59.36</v>
      </c>
      <c r="F2" s="5">
        <v>22.37</v>
      </c>
      <c r="G2" s="5">
        <f>SUM(E2:F2)</f>
        <v>81.73</v>
      </c>
    </row>
    <row r="3" spans="1:7" x14ac:dyDescent="0.3">
      <c r="A3" s="6" t="s">
        <v>8</v>
      </c>
      <c r="B3" s="6">
        <v>5329944</v>
      </c>
      <c r="C3" s="6">
        <v>100</v>
      </c>
      <c r="D3" s="5">
        <v>19.440000000000001</v>
      </c>
      <c r="E3" s="5">
        <v>66.58</v>
      </c>
      <c r="F3" s="5">
        <v>13.99</v>
      </c>
      <c r="G3" s="5">
        <f t="shared" ref="G3:G66" si="0">SUM(E3:F3)</f>
        <v>80.569999999999993</v>
      </c>
    </row>
    <row r="4" spans="1:7" x14ac:dyDescent="0.3">
      <c r="A4" s="6" t="s">
        <v>10</v>
      </c>
      <c r="B4" s="6">
        <v>9304431</v>
      </c>
      <c r="C4" s="6">
        <v>100</v>
      </c>
      <c r="D4" s="5">
        <v>15.24</v>
      </c>
      <c r="E4" s="6">
        <v>72.2</v>
      </c>
      <c r="F4" s="6">
        <v>12.56</v>
      </c>
      <c r="G4" s="5">
        <f t="shared" si="0"/>
        <v>84.76</v>
      </c>
    </row>
    <row r="5" spans="1:7" x14ac:dyDescent="0.3">
      <c r="A5" s="6" t="s">
        <v>12</v>
      </c>
      <c r="B5" s="6">
        <v>9871776</v>
      </c>
      <c r="C5" s="6">
        <v>100</v>
      </c>
      <c r="D5" s="5">
        <v>20.78</v>
      </c>
      <c r="E5" s="6">
        <v>66.319999999999993</v>
      </c>
      <c r="F5" s="6">
        <v>12.89</v>
      </c>
      <c r="G5" s="5">
        <f t="shared" si="0"/>
        <v>79.209999999999994</v>
      </c>
    </row>
    <row r="6" spans="1:7" x14ac:dyDescent="0.3">
      <c r="A6" s="6" t="s">
        <v>14</v>
      </c>
      <c r="B6" s="6">
        <v>10126673</v>
      </c>
      <c r="C6" s="6">
        <v>100</v>
      </c>
      <c r="D6" s="5">
        <v>23.41</v>
      </c>
      <c r="E6" s="6">
        <v>67.489999999999995</v>
      </c>
      <c r="F6" s="6">
        <v>9.11</v>
      </c>
      <c r="G6" s="5">
        <f t="shared" si="0"/>
        <v>76.599999999999994</v>
      </c>
    </row>
    <row r="7" spans="1:7" x14ac:dyDescent="0.3">
      <c r="A7" s="6" t="s">
        <v>16</v>
      </c>
      <c r="B7" s="6">
        <v>5724983</v>
      </c>
      <c r="C7" s="6">
        <v>100</v>
      </c>
      <c r="D7" s="5">
        <v>18.5</v>
      </c>
      <c r="E7" s="6">
        <v>60.96</v>
      </c>
      <c r="F7" s="6">
        <v>20.54</v>
      </c>
      <c r="G7" s="5">
        <f t="shared" si="0"/>
        <v>81.5</v>
      </c>
    </row>
    <row r="8" spans="1:7" x14ac:dyDescent="0.3">
      <c r="A8" s="6" t="s">
        <v>18</v>
      </c>
      <c r="B8" s="6">
        <v>16524571</v>
      </c>
      <c r="C8" s="6">
        <v>100</v>
      </c>
      <c r="D8" s="5">
        <v>16.43</v>
      </c>
      <c r="E8" s="6">
        <v>72.95</v>
      </c>
      <c r="F8" s="6">
        <v>10.62</v>
      </c>
      <c r="G8" s="5">
        <f t="shared" si="0"/>
        <v>83.570000000000007</v>
      </c>
    </row>
    <row r="9" spans="1:7" x14ac:dyDescent="0.3">
      <c r="A9" s="6" t="s">
        <v>20</v>
      </c>
      <c r="B9" s="6">
        <v>6251962</v>
      </c>
      <c r="C9" s="6">
        <v>100</v>
      </c>
      <c r="D9" s="5">
        <v>15.95</v>
      </c>
      <c r="E9" s="6">
        <v>61.92</v>
      </c>
      <c r="F9" s="6">
        <v>22.13</v>
      </c>
      <c r="G9" s="5">
        <f t="shared" si="0"/>
        <v>84.05</v>
      </c>
    </row>
    <row r="10" spans="1:7" x14ac:dyDescent="0.3">
      <c r="A10" s="6" t="s">
        <v>22</v>
      </c>
      <c r="B10" s="6">
        <v>8251224</v>
      </c>
      <c r="C10" s="6">
        <v>100</v>
      </c>
      <c r="D10" s="5">
        <v>21.23</v>
      </c>
      <c r="E10" s="6">
        <v>68.13</v>
      </c>
      <c r="F10" s="6">
        <v>10.64</v>
      </c>
      <c r="G10" s="5">
        <f t="shared" si="0"/>
        <v>78.77</v>
      </c>
    </row>
    <row r="11" spans="1:7" x14ac:dyDescent="0.3">
      <c r="A11" s="6" t="s">
        <v>24</v>
      </c>
      <c r="B11" s="6">
        <v>4779600</v>
      </c>
      <c r="C11" s="6">
        <v>100</v>
      </c>
      <c r="D11" s="5">
        <v>18.440000000000001</v>
      </c>
      <c r="E11" s="6">
        <v>62.66</v>
      </c>
      <c r="F11" s="6">
        <v>18.899999999999999</v>
      </c>
      <c r="G11" s="5">
        <f t="shared" si="0"/>
        <v>81.56</v>
      </c>
    </row>
    <row r="12" spans="1:7" x14ac:dyDescent="0.3">
      <c r="A12" s="6" t="s">
        <v>26</v>
      </c>
      <c r="B12" s="6">
        <v>1355173</v>
      </c>
      <c r="C12" s="6">
        <v>100</v>
      </c>
      <c r="D12" s="5">
        <v>17.37</v>
      </c>
      <c r="E12" s="6">
        <v>63.53</v>
      </c>
      <c r="F12" s="6">
        <v>19.100000000000001</v>
      </c>
      <c r="G12" s="5">
        <f t="shared" si="0"/>
        <v>82.63</v>
      </c>
    </row>
    <row r="13" spans="1:7" x14ac:dyDescent="0.3">
      <c r="A13" s="6" t="s">
        <v>28</v>
      </c>
      <c r="B13" s="6">
        <v>14974846</v>
      </c>
      <c r="C13" s="6">
        <v>100</v>
      </c>
      <c r="D13" s="5">
        <v>18.32</v>
      </c>
      <c r="E13" s="6">
        <v>70.44</v>
      </c>
      <c r="F13" s="6">
        <v>11.24</v>
      </c>
      <c r="G13" s="5">
        <f t="shared" si="0"/>
        <v>81.679999999999993</v>
      </c>
    </row>
    <row r="14" spans="1:7" x14ac:dyDescent="0.3">
      <c r="A14" s="6" t="s">
        <v>30</v>
      </c>
      <c r="B14" s="6">
        <v>7933869</v>
      </c>
      <c r="C14" s="6">
        <v>100</v>
      </c>
      <c r="D14" s="5">
        <v>16.79</v>
      </c>
      <c r="E14" s="5">
        <v>67.81</v>
      </c>
      <c r="F14" s="5">
        <v>15.39</v>
      </c>
      <c r="G14" s="5">
        <f t="shared" si="0"/>
        <v>83.2</v>
      </c>
    </row>
    <row r="15" spans="1:7" x14ac:dyDescent="0.3">
      <c r="A15" s="6" t="s">
        <v>32</v>
      </c>
      <c r="B15" s="6">
        <v>6162887</v>
      </c>
      <c r="C15" s="6">
        <v>100</v>
      </c>
      <c r="D15" s="5">
        <v>18.79</v>
      </c>
      <c r="E15" s="5">
        <v>64.819999999999993</v>
      </c>
      <c r="F15" s="5">
        <v>16.39</v>
      </c>
      <c r="G15" s="5">
        <f t="shared" si="0"/>
        <v>81.209999999999994</v>
      </c>
    </row>
    <row r="16" spans="1:7" x14ac:dyDescent="0.3">
      <c r="A16" s="6" t="s">
        <v>34</v>
      </c>
      <c r="B16" s="6">
        <v>11905769</v>
      </c>
      <c r="C16" s="6">
        <v>100</v>
      </c>
      <c r="D16" s="5">
        <v>12.32</v>
      </c>
      <c r="E16" s="5">
        <v>68.45</v>
      </c>
      <c r="F16" s="5">
        <v>19.239999999999998</v>
      </c>
      <c r="G16" s="5">
        <f t="shared" si="0"/>
        <v>87.69</v>
      </c>
    </row>
    <row r="17" spans="1:7" x14ac:dyDescent="0.3">
      <c r="A17" s="6" t="s">
        <v>36</v>
      </c>
      <c r="B17" s="6">
        <v>10244330</v>
      </c>
      <c r="C17" s="6">
        <v>100</v>
      </c>
      <c r="D17" s="5">
        <v>17.11</v>
      </c>
      <c r="E17" s="5">
        <v>70.02</v>
      </c>
      <c r="F17" s="5">
        <v>12.87</v>
      </c>
      <c r="G17" s="5">
        <f t="shared" si="0"/>
        <v>82.89</v>
      </c>
    </row>
    <row r="18" spans="1:7" x14ac:dyDescent="0.3">
      <c r="A18" s="6" t="s">
        <v>38</v>
      </c>
      <c r="B18" s="6">
        <v>3321599</v>
      </c>
      <c r="C18" s="6">
        <v>100</v>
      </c>
      <c r="D18" s="5">
        <v>15.85</v>
      </c>
      <c r="E18" s="5">
        <v>70.599999999999994</v>
      </c>
      <c r="F18" s="5">
        <v>13.56</v>
      </c>
      <c r="G18" s="5">
        <f t="shared" si="0"/>
        <v>84.16</v>
      </c>
    </row>
    <row r="19" spans="1:7" x14ac:dyDescent="0.3">
      <c r="A19" s="6" t="s">
        <v>40</v>
      </c>
      <c r="B19" s="6">
        <v>6884353</v>
      </c>
      <c r="C19" s="6">
        <v>100</v>
      </c>
      <c r="D19" s="5">
        <v>16.5</v>
      </c>
      <c r="E19" s="5">
        <v>70.400000000000006</v>
      </c>
      <c r="F19" s="5">
        <v>13.1</v>
      </c>
      <c r="G19" s="5">
        <f t="shared" si="0"/>
        <v>83.5</v>
      </c>
    </row>
    <row r="20" spans="1:7" x14ac:dyDescent="0.3">
      <c r="A20" s="6" t="s">
        <v>42</v>
      </c>
      <c r="B20" s="6">
        <v>12489243</v>
      </c>
      <c r="C20" s="6">
        <v>100</v>
      </c>
      <c r="D20" s="5">
        <v>17.850000000000001</v>
      </c>
      <c r="E20" s="5">
        <v>66.75</v>
      </c>
      <c r="F20" s="5">
        <v>15.41</v>
      </c>
      <c r="G20" s="5">
        <f t="shared" si="0"/>
        <v>82.16</v>
      </c>
    </row>
    <row r="21" spans="1:7" x14ac:dyDescent="0.3">
      <c r="A21" s="6" t="s">
        <v>44</v>
      </c>
      <c r="B21" s="6">
        <v>1192107</v>
      </c>
      <c r="C21" s="6">
        <v>100</v>
      </c>
      <c r="D21" s="5">
        <v>15.99</v>
      </c>
      <c r="E21" s="5">
        <v>61.38</v>
      </c>
      <c r="F21" s="5">
        <v>22.63</v>
      </c>
      <c r="G21" s="5">
        <f t="shared" si="0"/>
        <v>84.01</v>
      </c>
    </row>
    <row r="22" spans="1:7" x14ac:dyDescent="0.3">
      <c r="A22" s="6" t="s">
        <v>46</v>
      </c>
      <c r="B22" s="6">
        <v>9791493</v>
      </c>
      <c r="C22" s="6">
        <v>100</v>
      </c>
      <c r="D22" s="5">
        <v>17.73</v>
      </c>
      <c r="E22" s="5">
        <v>69.16</v>
      </c>
      <c r="F22" s="5">
        <v>13.12</v>
      </c>
      <c r="G22" s="5">
        <f t="shared" si="0"/>
        <v>82.28</v>
      </c>
    </row>
    <row r="23" spans="1:7" x14ac:dyDescent="0.3">
      <c r="A23" s="6" t="s">
        <v>48</v>
      </c>
      <c r="B23" s="6">
        <v>14418224</v>
      </c>
      <c r="C23" s="6">
        <v>100</v>
      </c>
      <c r="D23" s="5">
        <v>24.15</v>
      </c>
      <c r="E23" s="5">
        <v>63.26</v>
      </c>
      <c r="F23" s="5">
        <v>12.59</v>
      </c>
      <c r="G23" s="5">
        <f t="shared" si="0"/>
        <v>75.849999999999994</v>
      </c>
    </row>
    <row r="24" spans="1:7" x14ac:dyDescent="0.3">
      <c r="A24" s="6" t="s">
        <v>50</v>
      </c>
      <c r="B24" s="6">
        <v>9038981</v>
      </c>
      <c r="C24" s="6">
        <v>100</v>
      </c>
      <c r="D24" s="5">
        <v>15.67</v>
      </c>
      <c r="E24" s="5">
        <v>64.13</v>
      </c>
      <c r="F24" s="5">
        <v>20.190000000000001</v>
      </c>
      <c r="G24" s="5">
        <f t="shared" si="0"/>
        <v>84.32</v>
      </c>
    </row>
    <row r="25" spans="1:7" x14ac:dyDescent="0.3">
      <c r="A25" s="6" t="s">
        <v>52</v>
      </c>
      <c r="B25" s="6">
        <v>8375997</v>
      </c>
      <c r="C25" s="6">
        <v>100</v>
      </c>
      <c r="D25" s="5">
        <v>22.03</v>
      </c>
      <c r="E25" s="5">
        <v>64.739999999999995</v>
      </c>
      <c r="F25" s="5">
        <v>13.24</v>
      </c>
      <c r="G25" s="5">
        <f t="shared" si="0"/>
        <v>77.97999999999999</v>
      </c>
    </row>
    <row r="26" spans="1:7" x14ac:dyDescent="0.3">
      <c r="A26" s="6" t="s">
        <v>54</v>
      </c>
      <c r="B26" s="6">
        <v>11514600</v>
      </c>
      <c r="C26" s="6">
        <v>100</v>
      </c>
      <c r="D26" s="5">
        <v>15.65</v>
      </c>
      <c r="E26" s="5">
        <v>60.3</v>
      </c>
      <c r="F26" s="5">
        <v>24.05</v>
      </c>
      <c r="G26" s="5">
        <f t="shared" si="0"/>
        <v>84.35</v>
      </c>
    </row>
    <row r="27" spans="1:7" x14ac:dyDescent="0.3">
      <c r="A27" s="6" t="s">
        <v>56</v>
      </c>
      <c r="B27" s="6">
        <v>14535163</v>
      </c>
      <c r="C27" s="6">
        <v>100</v>
      </c>
      <c r="D27" s="5">
        <v>16.100000000000001</v>
      </c>
      <c r="E27" s="5">
        <v>71.209999999999994</v>
      </c>
      <c r="F27" s="5">
        <v>12.69</v>
      </c>
      <c r="G27" s="5">
        <f t="shared" si="0"/>
        <v>83.899999999999991</v>
      </c>
    </row>
    <row r="28" spans="1:7" x14ac:dyDescent="0.3">
      <c r="A28" s="6" t="s">
        <v>58</v>
      </c>
      <c r="B28" s="6">
        <v>10543625</v>
      </c>
      <c r="C28" s="6">
        <v>100</v>
      </c>
      <c r="D28" s="5">
        <v>16.28</v>
      </c>
      <c r="E28" s="5">
        <v>68.11</v>
      </c>
      <c r="F28" s="5">
        <v>15.61</v>
      </c>
      <c r="G28" s="5">
        <f t="shared" si="0"/>
        <v>83.72</v>
      </c>
    </row>
    <row r="29" spans="1:7" x14ac:dyDescent="0.3">
      <c r="A29" s="6" t="s">
        <v>60</v>
      </c>
      <c r="B29" s="6">
        <v>14019662</v>
      </c>
      <c r="C29" s="6">
        <v>100</v>
      </c>
      <c r="D29" s="5">
        <v>18.010000000000002</v>
      </c>
      <c r="E29" s="5">
        <v>69.37</v>
      </c>
      <c r="F29" s="5">
        <v>12.62</v>
      </c>
      <c r="G29" s="5">
        <f t="shared" si="0"/>
        <v>81.990000000000009</v>
      </c>
    </row>
    <row r="30" spans="1:7" x14ac:dyDescent="0.3">
      <c r="A30" s="6" t="s">
        <v>62</v>
      </c>
      <c r="B30" s="6">
        <v>6557439</v>
      </c>
      <c r="C30" s="6">
        <v>100</v>
      </c>
      <c r="D30" s="5">
        <v>18.670000000000002</v>
      </c>
      <c r="E30" s="5">
        <v>64.44</v>
      </c>
      <c r="F30" s="5">
        <v>16.89</v>
      </c>
      <c r="G30" s="5">
        <f t="shared" si="0"/>
        <v>81.33</v>
      </c>
    </row>
    <row r="31" spans="1:7" x14ac:dyDescent="0.3">
      <c r="A31" s="6" t="s">
        <v>64</v>
      </c>
      <c r="B31" s="6">
        <v>15734657</v>
      </c>
      <c r="C31" s="6">
        <v>100</v>
      </c>
      <c r="D31" s="5">
        <v>14.46</v>
      </c>
      <c r="E31" s="5">
        <v>67.16</v>
      </c>
      <c r="F31" s="5">
        <v>18.37</v>
      </c>
      <c r="G31" s="5">
        <f t="shared" si="0"/>
        <v>85.53</v>
      </c>
    </row>
    <row r="32" spans="1:7" x14ac:dyDescent="0.3">
      <c r="A32" s="6" t="s">
        <v>66</v>
      </c>
      <c r="B32" s="6">
        <v>7894173</v>
      </c>
      <c r="C32" s="6">
        <v>100</v>
      </c>
      <c r="D32" s="5">
        <v>15.4</v>
      </c>
      <c r="E32" s="5">
        <v>60.34</v>
      </c>
      <c r="F32" s="5">
        <v>24.26</v>
      </c>
      <c r="G32" s="5">
        <f t="shared" si="0"/>
        <v>84.600000000000009</v>
      </c>
    </row>
    <row r="33" spans="1:7" x14ac:dyDescent="0.3">
      <c r="A33" s="6" t="s">
        <v>68</v>
      </c>
      <c r="B33" s="6">
        <v>13443517</v>
      </c>
      <c r="C33" s="6">
        <v>100</v>
      </c>
      <c r="D33" s="5">
        <v>18.940000000000001</v>
      </c>
      <c r="E33" s="5">
        <v>69.58</v>
      </c>
      <c r="F33" s="5">
        <v>11.48</v>
      </c>
      <c r="G33" s="5">
        <f t="shared" si="0"/>
        <v>81.06</v>
      </c>
    </row>
    <row r="34" spans="1:7" x14ac:dyDescent="0.3">
      <c r="A34" s="6" t="s">
        <v>70</v>
      </c>
      <c r="B34" s="6">
        <v>6550630</v>
      </c>
      <c r="C34" s="6">
        <v>100</v>
      </c>
      <c r="D34" s="5">
        <v>17.739999999999998</v>
      </c>
      <c r="E34" s="5">
        <v>62.33</v>
      </c>
      <c r="F34" s="5">
        <v>19.940000000000001</v>
      </c>
      <c r="G34" s="5">
        <f t="shared" si="0"/>
        <v>82.27</v>
      </c>
    </row>
    <row r="35" spans="1:7" x14ac:dyDescent="0.3">
      <c r="A35" s="6" t="s">
        <v>72</v>
      </c>
      <c r="B35" s="6">
        <v>13064779</v>
      </c>
      <c r="C35" s="6">
        <v>100</v>
      </c>
      <c r="D35" s="5">
        <v>27.34</v>
      </c>
      <c r="E35" s="5">
        <v>61.65</v>
      </c>
      <c r="F35" s="5">
        <v>11.01</v>
      </c>
      <c r="G35" s="5">
        <f t="shared" si="0"/>
        <v>72.66</v>
      </c>
    </row>
    <row r="36" spans="1:7" x14ac:dyDescent="0.3">
      <c r="A36" s="6" t="s">
        <v>74</v>
      </c>
      <c r="B36" s="6">
        <v>991860</v>
      </c>
      <c r="C36" s="6">
        <v>100</v>
      </c>
      <c r="D36" s="5">
        <v>16.5</v>
      </c>
      <c r="E36" s="5">
        <v>72.11</v>
      </c>
      <c r="F36" s="5">
        <v>11.39</v>
      </c>
      <c r="G36" s="5">
        <f t="shared" si="0"/>
        <v>83.5</v>
      </c>
    </row>
    <row r="37" spans="1:7" x14ac:dyDescent="0.3">
      <c r="A37" s="6" t="s">
        <v>76</v>
      </c>
      <c r="B37" s="6">
        <v>5623542</v>
      </c>
      <c r="C37" s="6">
        <v>100</v>
      </c>
      <c r="D37" s="5">
        <v>14.55</v>
      </c>
      <c r="E37" s="5">
        <v>71.16</v>
      </c>
      <c r="F37" s="5">
        <v>14.29</v>
      </c>
      <c r="G37" s="5">
        <f t="shared" si="0"/>
        <v>85.449999999999989</v>
      </c>
    </row>
    <row r="38" spans="1:7" x14ac:dyDescent="0.3">
      <c r="A38" s="6" t="s">
        <v>78</v>
      </c>
      <c r="B38" s="6">
        <v>5004106</v>
      </c>
      <c r="C38" s="6">
        <v>100</v>
      </c>
      <c r="D38" s="5">
        <v>17.5</v>
      </c>
      <c r="E38" s="5">
        <v>69.08</v>
      </c>
      <c r="F38" s="5">
        <v>13.43</v>
      </c>
      <c r="G38" s="5">
        <f t="shared" si="0"/>
        <v>82.509999999999991</v>
      </c>
    </row>
    <row r="39" spans="1:7" x14ac:dyDescent="0.3">
      <c r="A39" s="6" t="s">
        <v>80</v>
      </c>
      <c r="B39" s="6">
        <v>10834705</v>
      </c>
      <c r="C39" s="6">
        <v>100</v>
      </c>
      <c r="D39" s="5">
        <v>19.899999999999999</v>
      </c>
      <c r="E39" s="5">
        <v>67.09</v>
      </c>
      <c r="F39" s="5">
        <v>13.01</v>
      </c>
      <c r="G39" s="5">
        <f t="shared" si="0"/>
        <v>80.100000000000009</v>
      </c>
    </row>
    <row r="40" spans="1:7" x14ac:dyDescent="0.3">
      <c r="A40" s="6" t="s">
        <v>82</v>
      </c>
      <c r="B40" s="6">
        <v>15743490</v>
      </c>
      <c r="C40" s="6">
        <v>100</v>
      </c>
      <c r="D40" s="5">
        <v>15.55</v>
      </c>
      <c r="E40" s="5">
        <v>69.290000000000006</v>
      </c>
      <c r="F40" s="5">
        <v>15.16</v>
      </c>
      <c r="G40" s="5">
        <f t="shared" si="0"/>
        <v>84.45</v>
      </c>
    </row>
    <row r="41" spans="1:7" x14ac:dyDescent="0.3">
      <c r="A41" s="6" t="s">
        <v>84</v>
      </c>
      <c r="B41" s="6">
        <v>8671905</v>
      </c>
      <c r="C41" s="6">
        <v>100</v>
      </c>
      <c r="D41" s="5">
        <v>16.73</v>
      </c>
      <c r="E41" s="5">
        <v>71.19</v>
      </c>
      <c r="F41" s="5">
        <v>12.08</v>
      </c>
      <c r="G41" s="5">
        <f t="shared" si="0"/>
        <v>83.27</v>
      </c>
    </row>
    <row r="42" spans="1:7" x14ac:dyDescent="0.3">
      <c r="A42" s="6" t="s">
        <v>86</v>
      </c>
      <c r="B42" s="6">
        <v>6710302</v>
      </c>
      <c r="C42" s="6">
        <v>100</v>
      </c>
      <c r="D42" s="5">
        <v>13.91</v>
      </c>
      <c r="E42" s="5">
        <v>55.12</v>
      </c>
      <c r="F42" s="5">
        <v>30.97</v>
      </c>
      <c r="G42" s="5">
        <f t="shared" si="0"/>
        <v>86.09</v>
      </c>
    </row>
    <row r="43" spans="1:7" x14ac:dyDescent="0.3">
      <c r="A43" s="6" t="s">
        <v>88</v>
      </c>
      <c r="B43" s="6">
        <v>8908109</v>
      </c>
      <c r="C43" s="6">
        <v>100</v>
      </c>
      <c r="D43" s="5">
        <v>15.44</v>
      </c>
      <c r="E43" s="5">
        <v>72.760000000000005</v>
      </c>
      <c r="F43" s="5">
        <v>11.8</v>
      </c>
      <c r="G43" s="5">
        <f t="shared" si="0"/>
        <v>84.56</v>
      </c>
    </row>
    <row r="44" spans="1:7" x14ac:dyDescent="0.3">
      <c r="A44" s="6" t="s">
        <v>90</v>
      </c>
      <c r="B44" s="6">
        <v>7179092</v>
      </c>
      <c r="C44" s="6">
        <v>100</v>
      </c>
      <c r="D44" s="5">
        <v>9.48</v>
      </c>
      <c r="E44" s="5">
        <v>50.94</v>
      </c>
      <c r="F44" s="5">
        <v>39.58</v>
      </c>
      <c r="G44" s="5">
        <f t="shared" si="0"/>
        <v>90.52</v>
      </c>
    </row>
    <row r="45" spans="1:7" x14ac:dyDescent="0.3">
      <c r="A45" s="6" t="s">
        <v>92</v>
      </c>
      <c r="B45" s="6">
        <v>993128</v>
      </c>
      <c r="C45" s="6">
        <v>100</v>
      </c>
      <c r="D45" s="5">
        <v>10.75</v>
      </c>
      <c r="E45" s="5">
        <v>53.05</v>
      </c>
      <c r="F45" s="5">
        <v>36.200000000000003</v>
      </c>
      <c r="G45" s="5">
        <f t="shared" si="0"/>
        <v>89.25</v>
      </c>
    </row>
    <row r="46" spans="1:7" x14ac:dyDescent="0.3">
      <c r="A46" s="6" t="s">
        <v>94</v>
      </c>
      <c r="B46" s="6">
        <v>15554361</v>
      </c>
      <c r="C46" s="6">
        <v>100</v>
      </c>
      <c r="D46" s="5">
        <v>17.98</v>
      </c>
      <c r="E46" s="5">
        <v>68.89</v>
      </c>
      <c r="F46" s="5">
        <v>13.14</v>
      </c>
      <c r="G46" s="5">
        <f t="shared" si="0"/>
        <v>82.03</v>
      </c>
    </row>
    <row r="47" spans="1:7" x14ac:dyDescent="0.3">
      <c r="A47" s="6" t="s">
        <v>96</v>
      </c>
      <c r="B47" s="6">
        <v>10490281</v>
      </c>
      <c r="C47" s="6">
        <v>100</v>
      </c>
      <c r="D47" s="5">
        <v>20.27</v>
      </c>
      <c r="E47" s="5">
        <v>65.92</v>
      </c>
      <c r="F47" s="5">
        <v>13.82</v>
      </c>
      <c r="G47" s="5">
        <f t="shared" si="0"/>
        <v>79.740000000000009</v>
      </c>
    </row>
    <row r="48" spans="1:7" x14ac:dyDescent="0.3">
      <c r="A48" s="6" t="s">
        <v>98</v>
      </c>
      <c r="B48" s="6">
        <v>5299218</v>
      </c>
      <c r="C48" s="6">
        <v>100</v>
      </c>
      <c r="D48" s="5">
        <v>9.32</v>
      </c>
      <c r="E48" s="5">
        <v>36.47</v>
      </c>
      <c r="F48" s="5">
        <v>54.21</v>
      </c>
      <c r="G48" s="5">
        <f t="shared" si="0"/>
        <v>90.68</v>
      </c>
    </row>
    <row r="49" spans="1:7" x14ac:dyDescent="0.3">
      <c r="A49" s="6" t="s">
        <v>100</v>
      </c>
      <c r="B49" s="6">
        <v>10189237</v>
      </c>
      <c r="C49" s="6">
        <v>100</v>
      </c>
      <c r="D49" s="5">
        <v>15.03</v>
      </c>
      <c r="E49" s="5">
        <v>63.11</v>
      </c>
      <c r="F49" s="5">
        <v>21.86</v>
      </c>
      <c r="G49" s="5">
        <f t="shared" si="0"/>
        <v>84.97</v>
      </c>
    </row>
    <row r="50" spans="1:7" x14ac:dyDescent="0.3">
      <c r="A50" s="6" t="s">
        <v>102</v>
      </c>
      <c r="B50" s="6">
        <v>7700180</v>
      </c>
      <c r="C50" s="6">
        <v>100</v>
      </c>
      <c r="D50" s="5">
        <v>14.7</v>
      </c>
      <c r="E50" s="5">
        <v>62.3</v>
      </c>
      <c r="F50" s="5">
        <v>22.99</v>
      </c>
      <c r="G50" s="5">
        <f t="shared" si="0"/>
        <v>85.289999999999992</v>
      </c>
    </row>
    <row r="51" spans="1:7" x14ac:dyDescent="0.3">
      <c r="A51" s="6" t="s">
        <v>104</v>
      </c>
      <c r="B51" s="6">
        <v>12940365</v>
      </c>
      <c r="C51" s="6">
        <v>100</v>
      </c>
      <c r="D51" s="5">
        <v>18.97</v>
      </c>
      <c r="E51" s="5">
        <v>66.489999999999995</v>
      </c>
      <c r="F51" s="5">
        <v>14.54</v>
      </c>
      <c r="G51" s="5">
        <f t="shared" si="0"/>
        <v>81.03</v>
      </c>
    </row>
    <row r="52" spans="1:7" x14ac:dyDescent="0.3">
      <c r="A52" s="6" t="s">
        <v>106</v>
      </c>
      <c r="B52" s="6">
        <v>5172153</v>
      </c>
      <c r="C52" s="6">
        <v>100</v>
      </c>
      <c r="D52" s="5">
        <v>14.05</v>
      </c>
      <c r="E52" s="5">
        <v>60.91</v>
      </c>
      <c r="F52" s="5">
        <v>25.04</v>
      </c>
      <c r="G52" s="5">
        <f t="shared" si="0"/>
        <v>85.949999999999989</v>
      </c>
    </row>
    <row r="53" spans="1:7" x14ac:dyDescent="0.3">
      <c r="A53" s="6" t="s">
        <v>108</v>
      </c>
      <c r="B53" s="6">
        <v>8829190</v>
      </c>
      <c r="C53" s="6">
        <v>100</v>
      </c>
      <c r="D53" s="5">
        <v>18.93</v>
      </c>
      <c r="E53" s="5">
        <v>68.290000000000006</v>
      </c>
      <c r="F53" s="5">
        <v>12.78</v>
      </c>
      <c r="G53" s="5">
        <f t="shared" si="0"/>
        <v>81.070000000000007</v>
      </c>
    </row>
    <row r="54" spans="1:7" x14ac:dyDescent="0.3">
      <c r="A54" s="6" t="s">
        <v>110</v>
      </c>
      <c r="B54" s="6">
        <v>4209967</v>
      </c>
      <c r="C54" s="6">
        <v>100</v>
      </c>
      <c r="D54" s="5">
        <v>16.64</v>
      </c>
      <c r="E54" s="5">
        <v>64.33</v>
      </c>
      <c r="F54" s="5">
        <v>19.03</v>
      </c>
      <c r="G54" s="5">
        <f t="shared" si="0"/>
        <v>83.36</v>
      </c>
    </row>
    <row r="55" spans="1:7" x14ac:dyDescent="0.3">
      <c r="A55" s="6" t="s">
        <v>112</v>
      </c>
      <c r="B55" s="6">
        <v>8872461</v>
      </c>
      <c r="C55" s="6">
        <v>100</v>
      </c>
      <c r="D55" s="5">
        <v>19.73</v>
      </c>
      <c r="E55" s="5">
        <v>67.62</v>
      </c>
      <c r="F55" s="5">
        <v>12.65</v>
      </c>
      <c r="G55" s="5">
        <f t="shared" si="0"/>
        <v>80.27000000000001</v>
      </c>
    </row>
    <row r="56" spans="1:7" x14ac:dyDescent="0.3">
      <c r="A56" s="6" t="s">
        <v>114</v>
      </c>
      <c r="B56" s="6">
        <v>6732106</v>
      </c>
      <c r="C56" s="6">
        <v>100</v>
      </c>
      <c r="D56" s="5">
        <v>12.86</v>
      </c>
      <c r="E56" s="5">
        <v>56.5</v>
      </c>
      <c r="F56" s="5">
        <v>30.64</v>
      </c>
      <c r="G56" s="5">
        <f t="shared" si="0"/>
        <v>87.14</v>
      </c>
    </row>
    <row r="57" spans="1:7" x14ac:dyDescent="0.3">
      <c r="A57" s="6" t="s">
        <v>116</v>
      </c>
      <c r="B57" s="6">
        <v>17433391</v>
      </c>
      <c r="C57" s="6">
        <v>100</v>
      </c>
      <c r="D57" s="5">
        <v>21.01</v>
      </c>
      <c r="E57" s="5">
        <v>66.739999999999995</v>
      </c>
      <c r="F57" s="5">
        <v>12.25</v>
      </c>
      <c r="G57" s="5">
        <f t="shared" si="0"/>
        <v>78.989999999999995</v>
      </c>
    </row>
    <row r="58" spans="1:7" x14ac:dyDescent="0.3">
      <c r="A58" s="6" t="s">
        <v>118</v>
      </c>
      <c r="B58" s="6">
        <v>5578067</v>
      </c>
      <c r="C58" s="6">
        <v>100</v>
      </c>
      <c r="D58" s="5">
        <v>16.32</v>
      </c>
      <c r="E58" s="5">
        <v>65.819999999999993</v>
      </c>
      <c r="F58" s="5">
        <v>17.86</v>
      </c>
      <c r="G58" s="5">
        <f t="shared" si="0"/>
        <v>83.679999999999993</v>
      </c>
    </row>
    <row r="59" spans="1:7" x14ac:dyDescent="0.3">
      <c r="A59" s="6" t="s">
        <v>120</v>
      </c>
      <c r="B59" s="6">
        <v>17662190</v>
      </c>
      <c r="C59" s="6">
        <v>100</v>
      </c>
      <c r="D59" s="5">
        <v>25.75</v>
      </c>
      <c r="E59" s="5">
        <v>61.8</v>
      </c>
      <c r="F59" s="5">
        <v>12.45</v>
      </c>
      <c r="G59" s="5">
        <f t="shared" si="0"/>
        <v>74.25</v>
      </c>
    </row>
    <row r="60" spans="1:7" x14ac:dyDescent="0.3">
      <c r="A60" s="6" t="s">
        <v>122</v>
      </c>
      <c r="B60" s="6">
        <v>6368778</v>
      </c>
      <c r="C60" s="6">
        <v>100</v>
      </c>
      <c r="D60" s="5">
        <v>18.420000000000002</v>
      </c>
      <c r="E60" s="5">
        <v>58.11</v>
      </c>
      <c r="F60" s="5">
        <v>23.46</v>
      </c>
      <c r="G60" s="5">
        <f t="shared" si="0"/>
        <v>81.569999999999993</v>
      </c>
    </row>
    <row r="61" spans="1:7" x14ac:dyDescent="0.3">
      <c r="A61" s="6" t="s">
        <v>124</v>
      </c>
      <c r="B61" s="6">
        <v>6117116</v>
      </c>
      <c r="C61" s="6">
        <v>100</v>
      </c>
      <c r="D61" s="5">
        <v>17.48</v>
      </c>
      <c r="E61" s="5">
        <v>61.56</v>
      </c>
      <c r="F61" s="5">
        <v>20.96</v>
      </c>
      <c r="G61" s="5">
        <f t="shared" si="0"/>
        <v>82.52000000000001</v>
      </c>
    </row>
    <row r="62" spans="1:7" x14ac:dyDescent="0.3">
      <c r="A62" s="6" t="s">
        <v>126</v>
      </c>
      <c r="B62" s="6">
        <v>15389513</v>
      </c>
      <c r="C62" s="6">
        <v>100</v>
      </c>
      <c r="D62" s="5">
        <v>15.33</v>
      </c>
      <c r="E62" s="5">
        <v>71.77</v>
      </c>
      <c r="F62" s="5">
        <v>12.9</v>
      </c>
      <c r="G62" s="5">
        <f t="shared" si="0"/>
        <v>84.67</v>
      </c>
    </row>
    <row r="63" spans="1:7" x14ac:dyDescent="0.3">
      <c r="A63" s="6" t="s">
        <v>128</v>
      </c>
      <c r="B63" s="6">
        <v>7173795</v>
      </c>
      <c r="C63" s="6">
        <v>100</v>
      </c>
      <c r="D63" s="5">
        <v>17.59</v>
      </c>
      <c r="E63" s="5">
        <v>70</v>
      </c>
      <c r="F63" s="5">
        <v>12.41</v>
      </c>
      <c r="G63" s="5">
        <f t="shared" si="0"/>
        <v>82.41</v>
      </c>
    </row>
    <row r="64" spans="1:7" x14ac:dyDescent="0.3">
      <c r="A64" s="6" t="s">
        <v>130</v>
      </c>
      <c r="B64" s="6">
        <v>9800101</v>
      </c>
      <c r="C64" s="6">
        <v>100</v>
      </c>
      <c r="D64" s="5">
        <v>15.48</v>
      </c>
      <c r="E64" s="5">
        <v>64.87</v>
      </c>
      <c r="F64" s="5">
        <v>19.649999999999999</v>
      </c>
      <c r="G64" s="5">
        <f t="shared" si="0"/>
        <v>84.52000000000001</v>
      </c>
    </row>
    <row r="65" spans="1:7" x14ac:dyDescent="0.3">
      <c r="A65" s="6" t="s">
        <v>132</v>
      </c>
      <c r="B65" s="6">
        <v>20768432</v>
      </c>
      <c r="C65" s="6">
        <v>100</v>
      </c>
      <c r="D65" s="5">
        <v>15.12</v>
      </c>
      <c r="E65" s="5">
        <v>61.09</v>
      </c>
      <c r="F65" s="5">
        <v>23.79</v>
      </c>
      <c r="G65" s="5">
        <f t="shared" si="0"/>
        <v>84.88</v>
      </c>
    </row>
    <row r="66" spans="1:7" x14ac:dyDescent="0.3">
      <c r="A66" s="6" t="s">
        <v>134</v>
      </c>
      <c r="B66" s="6">
        <v>5577598</v>
      </c>
      <c r="C66" s="6">
        <v>100</v>
      </c>
      <c r="D66" s="5">
        <v>12.99</v>
      </c>
      <c r="E66" s="5">
        <v>56.11</v>
      </c>
      <c r="F66" s="5">
        <v>30.9</v>
      </c>
      <c r="G66" s="5">
        <f t="shared" si="0"/>
        <v>87.009999999999991</v>
      </c>
    </row>
    <row r="67" spans="1:7" x14ac:dyDescent="0.3">
      <c r="A67" s="6" t="s">
        <v>136</v>
      </c>
      <c r="B67" s="6">
        <v>6447052</v>
      </c>
      <c r="C67" s="6">
        <v>100</v>
      </c>
      <c r="D67" s="5">
        <v>24.51</v>
      </c>
      <c r="E67" s="5">
        <v>64.91</v>
      </c>
      <c r="F67" s="5">
        <v>10.58</v>
      </c>
      <c r="G67" s="5">
        <f t="shared" ref="G67:G69" si="1">SUM(E67:F67)</f>
        <v>75.489999999999995</v>
      </c>
    </row>
    <row r="68" spans="1:7" x14ac:dyDescent="0.3">
      <c r="A68" s="6" t="s">
        <v>138</v>
      </c>
      <c r="B68" s="6">
        <v>7283538</v>
      </c>
      <c r="C68" s="6">
        <v>100</v>
      </c>
      <c r="D68" s="5">
        <v>13.53</v>
      </c>
      <c r="E68" s="5">
        <v>53.1</v>
      </c>
      <c r="F68" s="5">
        <v>33.369999999999997</v>
      </c>
      <c r="G68" s="5">
        <f t="shared" si="1"/>
        <v>86.47</v>
      </c>
    </row>
    <row r="69" spans="1:7" x14ac:dyDescent="0.3">
      <c r="A69" s="6" t="s">
        <v>140</v>
      </c>
      <c r="B69" s="6">
        <v>7538742</v>
      </c>
      <c r="C69" s="6">
        <v>100</v>
      </c>
      <c r="D69" s="5">
        <v>24.39</v>
      </c>
      <c r="E69" s="5">
        <v>64.92</v>
      </c>
      <c r="F69" s="5">
        <v>10.7</v>
      </c>
      <c r="G69" s="5">
        <f t="shared" si="1"/>
        <v>75.62</v>
      </c>
    </row>
    <row r="70" spans="1:7" x14ac:dyDescent="0.3">
      <c r="A70" s="17" t="s">
        <v>148</v>
      </c>
      <c r="B70">
        <f>AVERAGE(B2:B69)</f>
        <v>9059801.9264705889</v>
      </c>
      <c r="C70">
        <f t="shared" ref="C70:G70" si="2">AVERAGE(C2:C69)</f>
        <v>100</v>
      </c>
      <c r="D70">
        <f t="shared" si="2"/>
        <v>17.345147058823528</v>
      </c>
      <c r="E70">
        <f t="shared" si="2"/>
        <v>64.73485294117647</v>
      </c>
      <c r="F70">
        <f t="shared" si="2"/>
        <v>17.92102941176471</v>
      </c>
      <c r="G70">
        <f t="shared" si="2"/>
        <v>82.655882352941177</v>
      </c>
    </row>
    <row r="71" spans="1:7" x14ac:dyDescent="0.3">
      <c r="A71" s="17" t="s">
        <v>149</v>
      </c>
      <c r="B71">
        <f>SUM(B2:B69)</f>
        <v>616066531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0D41-9D7B-4458-8885-18E125F8FE7D}">
  <dimension ref="A1:BR20"/>
  <sheetViews>
    <sheetView tabSelected="1" workbookViewId="0">
      <selection activeCell="BR3" sqref="BR3"/>
    </sheetView>
  </sheetViews>
  <sheetFormatPr defaultRowHeight="14.4" x14ac:dyDescent="0.3"/>
  <cols>
    <col min="1" max="1" width="27.33203125" bestFit="1" customWidth="1"/>
    <col min="2" max="2" width="10" bestFit="1" customWidth="1"/>
    <col min="70" max="70" width="10" bestFit="1" customWidth="1"/>
  </cols>
  <sheetData>
    <row r="1" spans="1:70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 t="s">
        <v>177</v>
      </c>
      <c r="AC1" t="s">
        <v>178</v>
      </c>
      <c r="AD1" t="s">
        <v>179</v>
      </c>
      <c r="AE1" t="s">
        <v>180</v>
      </c>
      <c r="AF1" t="s">
        <v>181</v>
      </c>
      <c r="AG1" t="s">
        <v>182</v>
      </c>
      <c r="AH1" t="s">
        <v>183</v>
      </c>
      <c r="AI1" t="s">
        <v>184</v>
      </c>
      <c r="AJ1" t="s">
        <v>185</v>
      </c>
      <c r="AK1" t="s">
        <v>186</v>
      </c>
      <c r="AL1" t="s">
        <v>187</v>
      </c>
      <c r="AM1" t="s">
        <v>188</v>
      </c>
      <c r="AN1" t="s">
        <v>189</v>
      </c>
      <c r="AO1" t="s">
        <v>190</v>
      </c>
      <c r="AP1" t="s">
        <v>191</v>
      </c>
      <c r="AQ1" t="s">
        <v>192</v>
      </c>
      <c r="AR1" t="s">
        <v>193</v>
      </c>
      <c r="AS1" t="s">
        <v>194</v>
      </c>
      <c r="AT1" t="s">
        <v>195</v>
      </c>
      <c r="AU1" t="s">
        <v>196</v>
      </c>
      <c r="AV1" t="s">
        <v>197</v>
      </c>
      <c r="AW1" t="s">
        <v>198</v>
      </c>
      <c r="AX1" t="s">
        <v>199</v>
      </c>
      <c r="AY1" t="s">
        <v>200</v>
      </c>
      <c r="AZ1" t="s">
        <v>201</v>
      </c>
      <c r="BA1" t="s">
        <v>202</v>
      </c>
      <c r="BB1" t="s">
        <v>203</v>
      </c>
      <c r="BC1" t="s">
        <v>204</v>
      </c>
      <c r="BD1" t="s">
        <v>205</v>
      </c>
      <c r="BE1" t="s">
        <v>206</v>
      </c>
      <c r="BF1" t="s">
        <v>207</v>
      </c>
      <c r="BG1" t="s">
        <v>208</v>
      </c>
      <c r="BH1" t="s">
        <v>209</v>
      </c>
      <c r="BI1" t="s">
        <v>210</v>
      </c>
      <c r="BJ1" t="s">
        <v>211</v>
      </c>
      <c r="BK1" t="s">
        <v>212</v>
      </c>
      <c r="BL1" t="s">
        <v>213</v>
      </c>
      <c r="BM1" t="s">
        <v>214</v>
      </c>
      <c r="BN1" t="s">
        <v>215</v>
      </c>
      <c r="BO1" t="s">
        <v>216</v>
      </c>
      <c r="BP1" t="s">
        <v>217</v>
      </c>
      <c r="BQ1" t="s">
        <v>218</v>
      </c>
    </row>
    <row r="2" spans="1:70" x14ac:dyDescent="0.3">
      <c r="A2" t="s">
        <v>219</v>
      </c>
      <c r="B2">
        <v>6210549</v>
      </c>
      <c r="C2">
        <v>4470340</v>
      </c>
      <c r="D2">
        <v>9846375</v>
      </c>
      <c r="E2">
        <v>8345484</v>
      </c>
      <c r="F2">
        <v>8651955</v>
      </c>
      <c r="G2">
        <v>3131015</v>
      </c>
      <c r="H2">
        <v>14442741</v>
      </c>
      <c r="I2">
        <v>3441967</v>
      </c>
      <c r="J2">
        <v>7159697</v>
      </c>
      <c r="K2">
        <v>2778262</v>
      </c>
      <c r="L2">
        <v>930628</v>
      </c>
      <c r="M2">
        <v>13244364</v>
      </c>
      <c r="N2">
        <v>6801092</v>
      </c>
      <c r="O2">
        <v>3985096</v>
      </c>
      <c r="P2">
        <v>11164023</v>
      </c>
      <c r="Q2">
        <v>11046171</v>
      </c>
      <c r="R2">
        <v>3456254</v>
      </c>
      <c r="S2">
        <v>7393881</v>
      </c>
      <c r="T2">
        <v>8412228</v>
      </c>
      <c r="U2">
        <v>685976</v>
      </c>
      <c r="V2">
        <v>10628993</v>
      </c>
      <c r="W2">
        <v>11240858</v>
      </c>
      <c r="X2">
        <v>5561078</v>
      </c>
      <c r="Y2">
        <v>7062062</v>
      </c>
      <c r="Z2">
        <v>6026226</v>
      </c>
      <c r="AA2">
        <v>15268737</v>
      </c>
      <c r="AB2">
        <v>6635226</v>
      </c>
      <c r="AC2">
        <v>12103694</v>
      </c>
      <c r="AD2">
        <v>4199479</v>
      </c>
      <c r="AE2">
        <v>15803825</v>
      </c>
      <c r="AF2">
        <v>4431041</v>
      </c>
      <c r="AG2">
        <v>11877213</v>
      </c>
      <c r="AH2">
        <v>3610930</v>
      </c>
      <c r="AI2">
        <v>10079957</v>
      </c>
      <c r="AJ2">
        <v>942697</v>
      </c>
      <c r="AK2">
        <v>5104079</v>
      </c>
      <c r="AL2">
        <v>4446452</v>
      </c>
      <c r="AM2">
        <v>9440645</v>
      </c>
      <c r="AN2">
        <v>12798039</v>
      </c>
      <c r="AO2">
        <v>7825632</v>
      </c>
      <c r="AP2">
        <v>3234920</v>
      </c>
      <c r="AQ2">
        <v>7922845</v>
      </c>
      <c r="AR2">
        <v>4559112</v>
      </c>
      <c r="AS2">
        <v>719402</v>
      </c>
      <c r="AT2">
        <v>13425018</v>
      </c>
      <c r="AU2">
        <v>8303684</v>
      </c>
      <c r="AV2">
        <v>1804857</v>
      </c>
      <c r="AW2">
        <v>6401488</v>
      </c>
      <c r="AX2">
        <v>4217755</v>
      </c>
      <c r="AY2">
        <v>11230886</v>
      </c>
      <c r="AZ2">
        <v>2826921</v>
      </c>
      <c r="BA2">
        <v>8111010</v>
      </c>
      <c r="BB2">
        <v>2496487</v>
      </c>
      <c r="BC2">
        <v>8375122</v>
      </c>
      <c r="BD2">
        <v>3913209</v>
      </c>
      <c r="BE2">
        <v>15063553</v>
      </c>
      <c r="BF2">
        <v>3751778</v>
      </c>
      <c r="BG2">
        <v>13915908</v>
      </c>
      <c r="BH2">
        <v>3290544</v>
      </c>
      <c r="BI2">
        <v>3483543</v>
      </c>
      <c r="BJ2">
        <v>15812038</v>
      </c>
      <c r="BK2">
        <v>6588809</v>
      </c>
      <c r="BL2">
        <v>6192596</v>
      </c>
      <c r="BM2">
        <v>16860716</v>
      </c>
      <c r="BN2">
        <v>2831388</v>
      </c>
      <c r="BO2">
        <v>5287387</v>
      </c>
      <c r="BP2">
        <v>3703162</v>
      </c>
      <c r="BQ2">
        <v>6052264</v>
      </c>
      <c r="BR2">
        <f>SUM(B2:BQ2)</f>
        <v>491061363</v>
      </c>
    </row>
    <row r="3" spans="1:70" x14ac:dyDescent="0.3">
      <c r="A3" t="s">
        <v>220</v>
      </c>
      <c r="B3">
        <v>2985246</v>
      </c>
      <c r="C3">
        <v>2071848</v>
      </c>
      <c r="D3">
        <v>2836486</v>
      </c>
      <c r="E3">
        <v>4103652</v>
      </c>
      <c r="F3">
        <v>4740718</v>
      </c>
      <c r="G3">
        <v>2118306</v>
      </c>
      <c r="H3">
        <v>5431468</v>
      </c>
      <c r="I3">
        <v>1994360</v>
      </c>
      <c r="J3">
        <v>3503902</v>
      </c>
      <c r="K3">
        <v>1763038</v>
      </c>
      <c r="L3">
        <v>470890</v>
      </c>
      <c r="M3">
        <v>5487116</v>
      </c>
      <c r="N3">
        <v>2664854</v>
      </c>
      <c r="O3">
        <v>2316480</v>
      </c>
      <c r="P3">
        <v>2933352</v>
      </c>
      <c r="Q3">
        <v>3505668</v>
      </c>
      <c r="R3">
        <v>1052652</v>
      </c>
      <c r="S3">
        <v>2271386</v>
      </c>
      <c r="T3">
        <v>4457988</v>
      </c>
      <c r="U3">
        <v>381322</v>
      </c>
      <c r="V3">
        <v>3471160</v>
      </c>
      <c r="W3">
        <v>6963444</v>
      </c>
      <c r="X3">
        <v>2833540</v>
      </c>
      <c r="Y3">
        <v>3689932</v>
      </c>
      <c r="Z3">
        <v>3603082</v>
      </c>
      <c r="AA3">
        <v>4680940</v>
      </c>
      <c r="AB3">
        <v>3432142</v>
      </c>
      <c r="AC3">
        <v>5049942</v>
      </c>
      <c r="AD3">
        <v>2448170</v>
      </c>
      <c r="AE3">
        <v>4551362</v>
      </c>
      <c r="AF3">
        <v>2431734</v>
      </c>
      <c r="AG3">
        <v>5091212</v>
      </c>
      <c r="AH3">
        <v>2323806</v>
      </c>
      <c r="AI3">
        <v>7145108</v>
      </c>
      <c r="AJ3">
        <v>327252</v>
      </c>
      <c r="AK3">
        <v>1636526</v>
      </c>
      <c r="AL3">
        <v>1751192</v>
      </c>
      <c r="AM3">
        <v>4312670</v>
      </c>
      <c r="AN3">
        <v>4896008</v>
      </c>
      <c r="AO3">
        <v>2902424</v>
      </c>
      <c r="AP3">
        <v>1866632</v>
      </c>
      <c r="AQ3">
        <v>2750966</v>
      </c>
      <c r="AR3">
        <v>1361256</v>
      </c>
      <c r="AS3">
        <v>213620</v>
      </c>
      <c r="AT3">
        <v>5591888</v>
      </c>
      <c r="AU3">
        <v>4252172</v>
      </c>
      <c r="AV3">
        <v>987628</v>
      </c>
      <c r="AW3">
        <v>3062062</v>
      </c>
      <c r="AX3">
        <v>2264496</v>
      </c>
      <c r="AY3">
        <v>4909112</v>
      </c>
      <c r="AZ3">
        <v>1453796</v>
      </c>
      <c r="BA3">
        <v>3341968</v>
      </c>
      <c r="BB3">
        <v>1401280</v>
      </c>
      <c r="BC3">
        <v>3501732</v>
      </c>
      <c r="BD3">
        <v>1731162</v>
      </c>
      <c r="BE3">
        <v>7325154</v>
      </c>
      <c r="BF3">
        <v>1820444</v>
      </c>
      <c r="BG3">
        <v>9096822</v>
      </c>
      <c r="BH3">
        <v>2346740</v>
      </c>
      <c r="BI3">
        <v>2138622</v>
      </c>
      <c r="BJ3">
        <v>4717118</v>
      </c>
      <c r="BK3">
        <v>2523058</v>
      </c>
      <c r="BL3">
        <v>3034456</v>
      </c>
      <c r="BM3">
        <v>6278658</v>
      </c>
      <c r="BN3">
        <v>1449322</v>
      </c>
      <c r="BO3">
        <v>3160258</v>
      </c>
      <c r="BP3">
        <v>1971132</v>
      </c>
      <c r="BQ3">
        <v>3589100</v>
      </c>
    </row>
    <row r="4" spans="1:70" x14ac:dyDescent="0.3">
      <c r="A4" t="s">
        <v>221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70" x14ac:dyDescent="0.3">
      <c r="A5" t="s">
        <v>222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70" x14ac:dyDescent="0.3">
      <c r="A6" t="s">
        <v>223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 spans="1:70" x14ac:dyDescent="0.3">
      <c r="A7" t="s">
        <v>224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70" x14ac:dyDescent="0.3">
      <c r="A8" t="s">
        <v>225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70" x14ac:dyDescent="0.3">
      <c r="A9" t="s">
        <v>226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 spans="1:70" x14ac:dyDescent="0.3">
      <c r="A10" t="s">
        <v>227</v>
      </c>
      <c r="B10">
        <v>15157372</v>
      </c>
      <c r="C10">
        <v>5023858</v>
      </c>
      <c r="D10">
        <v>8383944</v>
      </c>
      <c r="E10">
        <v>8749612</v>
      </c>
      <c r="F10">
        <v>5952264</v>
      </c>
      <c r="G10">
        <v>9549014</v>
      </c>
      <c r="H10">
        <v>11428904</v>
      </c>
      <c r="I10">
        <v>11030120</v>
      </c>
      <c r="J10">
        <v>5872688</v>
      </c>
      <c r="K10">
        <v>7197482</v>
      </c>
      <c r="L10">
        <v>1914272</v>
      </c>
      <c r="M10">
        <v>11159240</v>
      </c>
      <c r="N10">
        <v>9266550</v>
      </c>
      <c r="O10">
        <v>7699196</v>
      </c>
      <c r="P10">
        <v>18195748</v>
      </c>
      <c r="Q10">
        <v>10154562</v>
      </c>
      <c r="R10">
        <v>3295288</v>
      </c>
      <c r="S10">
        <v>6952038</v>
      </c>
      <c r="T10">
        <v>13382698</v>
      </c>
      <c r="U10">
        <v>2126686</v>
      </c>
      <c r="V10">
        <v>9929358</v>
      </c>
      <c r="W10">
        <v>13220358</v>
      </c>
      <c r="X10">
        <v>14310210</v>
      </c>
      <c r="Y10">
        <v>8149934</v>
      </c>
      <c r="Z10">
        <v>22813764</v>
      </c>
      <c r="AA10">
        <v>13228022</v>
      </c>
      <c r="AB10">
        <v>11687508</v>
      </c>
      <c r="AC10">
        <v>11621696</v>
      </c>
      <c r="AD10">
        <v>8392514</v>
      </c>
      <c r="AE10">
        <v>23505480</v>
      </c>
      <c r="AF10">
        <v>15755964</v>
      </c>
      <c r="AG10">
        <v>10124410</v>
      </c>
      <c r="AH10">
        <v>10469618</v>
      </c>
      <c r="AI10">
        <v>10103676</v>
      </c>
      <c r="AJ10">
        <v>774448</v>
      </c>
      <c r="AK10">
        <v>5221542</v>
      </c>
      <c r="AL10">
        <v>4394718</v>
      </c>
      <c r="AM10">
        <v>9275448</v>
      </c>
      <c r="AN10">
        <v>15747792</v>
      </c>
      <c r="AO10">
        <v>6690808</v>
      </c>
      <c r="AP10">
        <v>17758612</v>
      </c>
      <c r="AQ10">
        <v>6907578</v>
      </c>
      <c r="AR10">
        <v>25021486</v>
      </c>
      <c r="AS10">
        <v>3219170</v>
      </c>
      <c r="AT10">
        <v>13002914</v>
      </c>
      <c r="AU10">
        <v>10477396</v>
      </c>
      <c r="AV10">
        <v>26501112</v>
      </c>
      <c r="AW10">
        <v>17959164</v>
      </c>
      <c r="AX10">
        <v>14233898</v>
      </c>
      <c r="AY10">
        <v>13951660</v>
      </c>
      <c r="AZ10">
        <v>10901422</v>
      </c>
      <c r="BA10">
        <v>7702694</v>
      </c>
      <c r="BB10">
        <v>6123136</v>
      </c>
      <c r="BC10">
        <v>7903206</v>
      </c>
      <c r="BD10">
        <v>17538058</v>
      </c>
      <c r="BE10">
        <v>15431772</v>
      </c>
      <c r="BF10">
        <v>7767626</v>
      </c>
      <c r="BG10">
        <v>15464440</v>
      </c>
      <c r="BH10">
        <v>12369530</v>
      </c>
      <c r="BI10">
        <v>10443456</v>
      </c>
      <c r="BJ10">
        <v>14359900</v>
      </c>
      <c r="BK10">
        <v>6138018</v>
      </c>
      <c r="BL10">
        <v>14896126</v>
      </c>
      <c r="BM10">
        <v>40811700</v>
      </c>
      <c r="BN10">
        <v>14958218</v>
      </c>
      <c r="BO10">
        <v>4725052</v>
      </c>
      <c r="BP10">
        <v>21236478</v>
      </c>
      <c r="BQ10">
        <v>5247128</v>
      </c>
    </row>
    <row r="11" spans="1:70" x14ac:dyDescent="0.3">
      <c r="A11" t="s">
        <v>228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</row>
    <row r="12" spans="1:70" x14ac:dyDescent="0.3">
      <c r="A12" t="s">
        <v>229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70" x14ac:dyDescent="0.3">
      <c r="A13" t="s">
        <v>230</v>
      </c>
      <c r="B13">
        <v>3437532</v>
      </c>
      <c r="C13">
        <v>2593657</v>
      </c>
      <c r="D13">
        <v>3512893</v>
      </c>
      <c r="E13">
        <v>4686361</v>
      </c>
      <c r="F13">
        <v>4947569</v>
      </c>
      <c r="G13">
        <v>3833125</v>
      </c>
      <c r="H13">
        <v>9554626</v>
      </c>
      <c r="I13">
        <v>4282933</v>
      </c>
      <c r="J13">
        <v>4024898</v>
      </c>
      <c r="K13">
        <v>3195944</v>
      </c>
      <c r="L13">
        <v>785772</v>
      </c>
      <c r="M13">
        <v>7743273</v>
      </c>
      <c r="N13">
        <v>3905647</v>
      </c>
      <c r="O13">
        <v>3982900</v>
      </c>
      <c r="P13">
        <v>5058231</v>
      </c>
      <c r="Q13">
        <v>3213605</v>
      </c>
      <c r="R13">
        <v>1212119</v>
      </c>
      <c r="S13">
        <v>2245788</v>
      </c>
      <c r="T13">
        <v>8206813</v>
      </c>
      <c r="U13">
        <v>774150</v>
      </c>
      <c r="V13">
        <v>2829033</v>
      </c>
      <c r="W13">
        <v>6914509</v>
      </c>
      <c r="X13">
        <v>6003605</v>
      </c>
      <c r="Y13">
        <v>3726353</v>
      </c>
      <c r="Z13">
        <v>7830615</v>
      </c>
      <c r="AA13">
        <v>5316146</v>
      </c>
      <c r="AB13">
        <v>7689689</v>
      </c>
      <c r="AC13">
        <v>7263498</v>
      </c>
      <c r="AD13">
        <v>4228368</v>
      </c>
      <c r="AE13">
        <v>5217486</v>
      </c>
      <c r="AF13">
        <v>5072229</v>
      </c>
      <c r="AG13">
        <v>6742481</v>
      </c>
      <c r="AH13">
        <v>4535915</v>
      </c>
      <c r="AI13">
        <v>5950062</v>
      </c>
      <c r="AJ13">
        <v>480638</v>
      </c>
      <c r="AK13">
        <v>2857936</v>
      </c>
      <c r="AL13">
        <v>2431424</v>
      </c>
      <c r="AM13">
        <v>5017607</v>
      </c>
      <c r="AN13">
        <v>8913092</v>
      </c>
      <c r="AO13">
        <v>4454035</v>
      </c>
      <c r="AP13">
        <v>4146831</v>
      </c>
      <c r="AQ13">
        <v>4978065</v>
      </c>
      <c r="AR13">
        <v>2723881</v>
      </c>
      <c r="AS13">
        <v>330076</v>
      </c>
      <c r="AT13">
        <v>7890245</v>
      </c>
      <c r="AU13">
        <v>5453200</v>
      </c>
      <c r="AV13">
        <v>2052501</v>
      </c>
      <c r="AW13">
        <v>6425020</v>
      </c>
      <c r="AX13">
        <v>5355474</v>
      </c>
      <c r="AY13">
        <v>5889657</v>
      </c>
      <c r="AZ13">
        <v>3460986</v>
      </c>
      <c r="BA13">
        <v>3886952</v>
      </c>
      <c r="BB13">
        <v>2907439</v>
      </c>
      <c r="BC13">
        <v>3559178</v>
      </c>
      <c r="BD13">
        <v>3673529</v>
      </c>
      <c r="BE13">
        <v>8082077</v>
      </c>
      <c r="BF13">
        <v>3571039</v>
      </c>
      <c r="BG13">
        <v>7799980</v>
      </c>
      <c r="BH13">
        <v>4094316</v>
      </c>
      <c r="BI13">
        <v>4029328</v>
      </c>
      <c r="BJ13">
        <v>6152449</v>
      </c>
      <c r="BK13">
        <v>3403443</v>
      </c>
      <c r="BL13">
        <v>6485339</v>
      </c>
      <c r="BM13">
        <v>8378733</v>
      </c>
      <c r="BN13">
        <v>3414549</v>
      </c>
      <c r="BO13">
        <v>3040100</v>
      </c>
      <c r="BP13">
        <v>4013764</v>
      </c>
      <c r="BQ13">
        <v>3456646</v>
      </c>
    </row>
    <row r="14" spans="1:70" x14ac:dyDescent="0.3">
      <c r="A14" t="s">
        <v>231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70" x14ac:dyDescent="0.3">
      <c r="A15" t="s">
        <v>232</v>
      </c>
      <c r="B15">
        <v>46057</v>
      </c>
      <c r="C15">
        <v>33189</v>
      </c>
      <c r="D15">
        <v>75764</v>
      </c>
      <c r="E15">
        <v>62745</v>
      </c>
      <c r="F15">
        <v>68926</v>
      </c>
      <c r="G15">
        <v>15286</v>
      </c>
      <c r="H15">
        <v>111979</v>
      </c>
      <c r="I15">
        <v>17412</v>
      </c>
      <c r="J15">
        <v>57971</v>
      </c>
      <c r="K15">
        <v>15112</v>
      </c>
      <c r="L15">
        <v>5514</v>
      </c>
      <c r="M15">
        <v>108089</v>
      </c>
      <c r="N15">
        <v>53869</v>
      </c>
      <c r="O15">
        <v>21642</v>
      </c>
      <c r="P15">
        <v>75572</v>
      </c>
      <c r="Q15">
        <v>86560</v>
      </c>
      <c r="R15">
        <v>21567</v>
      </c>
      <c r="S15">
        <v>53657</v>
      </c>
      <c r="T15">
        <v>53177</v>
      </c>
      <c r="U15">
        <v>3242</v>
      </c>
      <c r="V15">
        <v>85074</v>
      </c>
      <c r="W15">
        <v>85871</v>
      </c>
      <c r="X15">
        <v>29589</v>
      </c>
      <c r="Y15">
        <v>56087</v>
      </c>
      <c r="Z15">
        <v>30287</v>
      </c>
      <c r="AA15">
        <v>116303</v>
      </c>
      <c r="AB15">
        <v>37471</v>
      </c>
      <c r="AC15">
        <v>84688</v>
      </c>
      <c r="AD15">
        <v>23241</v>
      </c>
      <c r="AE15">
        <v>114543</v>
      </c>
      <c r="AF15">
        <v>23686</v>
      </c>
      <c r="AG15">
        <v>89558</v>
      </c>
      <c r="AH15">
        <v>18613</v>
      </c>
      <c r="AI15">
        <v>78787</v>
      </c>
      <c r="AJ15">
        <v>7149</v>
      </c>
      <c r="AK15">
        <v>41717</v>
      </c>
      <c r="AL15">
        <v>35414</v>
      </c>
      <c r="AM15">
        <v>79378</v>
      </c>
      <c r="AN15">
        <v>106609</v>
      </c>
      <c r="AO15">
        <v>67373</v>
      </c>
      <c r="AP15">
        <v>15549</v>
      </c>
      <c r="AQ15">
        <v>62858</v>
      </c>
      <c r="AR15">
        <v>30689</v>
      </c>
      <c r="AS15">
        <v>4174</v>
      </c>
      <c r="AT15">
        <v>114239</v>
      </c>
      <c r="AU15">
        <v>72794</v>
      </c>
      <c r="AV15">
        <v>8260</v>
      </c>
      <c r="AW15">
        <v>35098</v>
      </c>
      <c r="AX15">
        <v>21453</v>
      </c>
      <c r="AY15">
        <v>88497</v>
      </c>
      <c r="AZ15">
        <v>12597</v>
      </c>
      <c r="BA15">
        <v>60902</v>
      </c>
      <c r="BB15">
        <v>12414</v>
      </c>
      <c r="BC15">
        <v>64942</v>
      </c>
      <c r="BD15">
        <v>20698</v>
      </c>
      <c r="BE15">
        <v>124802</v>
      </c>
      <c r="BF15">
        <v>20163</v>
      </c>
      <c r="BG15">
        <v>115410</v>
      </c>
      <c r="BH15">
        <v>17316</v>
      </c>
      <c r="BI15">
        <v>18257</v>
      </c>
      <c r="BJ15">
        <v>127017</v>
      </c>
      <c r="BK15">
        <v>51292</v>
      </c>
      <c r="BL15">
        <v>36853</v>
      </c>
      <c r="BM15">
        <v>136639</v>
      </c>
      <c r="BN15">
        <v>13185</v>
      </c>
      <c r="BO15">
        <v>42495</v>
      </c>
      <c r="BP15">
        <v>18200</v>
      </c>
      <c r="BQ15">
        <v>45122</v>
      </c>
    </row>
    <row r="18" spans="1:2" x14ac:dyDescent="0.3">
      <c r="A18" t="s">
        <v>233</v>
      </c>
      <c r="B18">
        <v>616066531</v>
      </c>
    </row>
    <row r="19" spans="1:2" x14ac:dyDescent="0.3">
      <c r="A19" t="s">
        <v>234</v>
      </c>
      <c r="B19">
        <v>491061363</v>
      </c>
    </row>
    <row r="20" spans="1:2" x14ac:dyDescent="0.3">
      <c r="A20" t="s">
        <v>235</v>
      </c>
      <c r="B20">
        <f>B19/B18*100</f>
        <v>79.709144757938489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25E4AD34CF7E45B687B6CEB9BB86AD" ma:contentTypeVersion="18" ma:contentTypeDescription="Create a new document." ma:contentTypeScope="" ma:versionID="ed46e1710f75ac3c713e56bd31ffd9ae">
  <xsd:schema xmlns:xsd="http://www.w3.org/2001/XMLSchema" xmlns:xs="http://www.w3.org/2001/XMLSchema" xmlns:p="http://schemas.microsoft.com/office/2006/metadata/properties" xmlns:ns2="5d95bed3-5a9c-4bb2-aff7-d40968630060" xmlns:ns3="d2effe62-e8c6-4f46-9889-3b63405b9899" targetNamespace="http://schemas.microsoft.com/office/2006/metadata/properties" ma:root="true" ma:fieldsID="719cc75562cf161d0a714e8a07b43bca" ns2:_="" ns3:_="">
    <xsd:import namespace="5d95bed3-5a9c-4bb2-aff7-d40968630060"/>
    <xsd:import namespace="d2effe62-e8c6-4f46-9889-3b63405b98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5bed3-5a9c-4bb2-aff7-d40968630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3a901c6-6db3-41aa-b982-22f35efe4b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effe62-e8c6-4f46-9889-3b63405b98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8d9fa7c-4b27-4e78-82cb-f47bf3be4970}" ma:internalName="TaxCatchAll" ma:showField="CatchAllData" ma:web="d2effe62-e8c6-4f46-9889-3b63405b98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0936E4-EC9B-4ACB-9C35-35D0606805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BB32A8-DB3E-4725-9E45-5E7BA1F4D6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95bed3-5a9c-4bb2-aff7-d40968630060"/>
    <ds:schemaRef ds:uri="d2effe62-e8c6-4f46-9889-3b63405b98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Pre&amp;post trimming</vt:lpstr>
      <vt:lpstr>Alignment data</vt:lpstr>
      <vt:lpstr>Overall 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Hannah Greenhough</dc:creator>
  <cp:keywords/>
  <dc:description/>
  <cp:lastModifiedBy>Hannah Greenhough</cp:lastModifiedBy>
  <cp:revision/>
  <dcterms:created xsi:type="dcterms:W3CDTF">2024-09-04T22:59:35Z</dcterms:created>
  <dcterms:modified xsi:type="dcterms:W3CDTF">2024-12-17T03:08:51Z</dcterms:modified>
  <cp:category/>
  <cp:contentStatus/>
</cp:coreProperties>
</file>